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HR_Project\"/>
    </mc:Choice>
  </mc:AlternateContent>
  <xr:revisionPtr revIDLastSave="0" documentId="8_{4FB100E8-6210-4802-9197-5DD39B463623}" xr6:coauthVersionLast="47" xr6:coauthVersionMax="47" xr10:uidLastSave="{00000000-0000-0000-0000-000000000000}"/>
  <bookViews>
    <workbookView xWindow="11424" yWindow="0" windowWidth="11712" windowHeight="12336" activeTab="2" xr2:uid="{FA0798F2-99B3-4FF8-AC49-D4C531A9DB8A}"/>
  </bookViews>
  <sheets>
    <sheet name="Config" sheetId="1" r:id="rId1"/>
    <sheet name="Data" sheetId="2" r:id="rId2"/>
    <sheet name="Dashboard" sheetId="3" r:id="rId3"/>
    <sheet name="Data_KpiDept" sheetId="4" r:id="rId4"/>
    <sheet name="Data_Tenure" sheetId="5" r:id="rId5"/>
    <sheet name="Data_Overtime" sheetId="6" r:id="rId6"/>
  </sheets>
  <definedNames>
    <definedName name="A">Config!$B$1</definedName>
    <definedName name="DatabaseName">Config!$B$3</definedName>
    <definedName name="DepartmentFilter__opt.">Config!$B$4</definedName>
    <definedName name="ExportFolder">Config!$B$5</definedName>
    <definedName name="PDFFilePrefix">Config!$B$6</definedName>
    <definedName name="ServerName">Config!$B$2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<sst xmlns="http://schemas.openxmlformats.org/spreadsheetml/2006/main" count="50" uniqueCount="40">
  <si>
    <t>A</t>
  </si>
  <si>
    <t>B (example)</t>
  </si>
  <si>
    <t>ServerName</t>
  </si>
  <si>
    <t>DatabaseName</t>
  </si>
  <si>
    <t>PeopleInsights</t>
  </si>
  <si>
    <t>DepartmentFilter (opt.)</t>
  </si>
  <si>
    <t>(leave blank or e.g. Sales)</t>
  </si>
  <si>
    <t>ExportFolder</t>
  </si>
  <si>
    <t>PDFFilePrefix</t>
  </si>
  <si>
    <t>HR_Monthly_Report</t>
  </si>
  <si>
    <t>TotalHeadcount</t>
  </si>
  <si>
    <t>AttritionCount</t>
  </si>
  <si>
    <t>AttritionRatePct</t>
  </si>
  <si>
    <t>AvgTenureYears</t>
  </si>
  <si>
    <t>AvgMonthlyIncome</t>
  </si>
  <si>
    <t>1–3 Years</t>
  </si>
  <si>
    <t>&lt;1 Year</t>
  </si>
  <si>
    <t>8+ Years</t>
  </si>
  <si>
    <t>4–7 Years</t>
  </si>
  <si>
    <t>TenureGroup</t>
  </si>
  <si>
    <t>LeftCount</t>
  </si>
  <si>
    <t>TotalCount</t>
  </si>
  <si>
    <t>TenureSort</t>
  </si>
  <si>
    <t>Yes</t>
  </si>
  <si>
    <t>No</t>
  </si>
  <si>
    <t>OverTime</t>
  </si>
  <si>
    <t>KSHEERAJA\SQLEXPRESS</t>
  </si>
  <si>
    <t>D:\Projects\HR_Project\Exports</t>
  </si>
  <si>
    <t>Department</t>
  </si>
  <si>
    <t>Headcount</t>
  </si>
  <si>
    <t>FemalePct</t>
  </si>
  <si>
    <t>OvertimePct</t>
  </si>
  <si>
    <t>Human Resources</t>
  </si>
  <si>
    <t>Sales</t>
  </si>
  <si>
    <t>Research &amp; Development</t>
  </si>
  <si>
    <t>Row Labels</t>
  </si>
  <si>
    <t>Grand Total</t>
  </si>
  <si>
    <t>Sum of Headcount</t>
  </si>
  <si>
    <t>Sum of AttritionRatePct</t>
  </si>
  <si>
    <t>Sum of AvgTenureYears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</si>
</sst>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2" borderId="0" xfId="0" applyFont="1" applyFill="1" applyBorder="1"/>
    <xf numFmtId="0" fontId="0" fillId="3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[HR_Dashboard.xlsm]Dashboard!PivotTable1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Dashboard!$B$9</c:f>
              <c:strCache>
                <c:ptCount val="1"/>
                <c:pt idx="0">
                  <c:v>Sum of Headcount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Dashboard!$B$10:$B$13</c:f>
              <c:numCache>
                <c:formatCode>General</c:formatCode>
                <c:ptCount val="3"/>
                <c:pt idx="0">
                  <c:v>63</c:v>
                </c:pt>
                <c:pt idx="1">
                  <c:v>961</c:v>
                </c:pt>
                <c:pt idx="2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BC-454E-B27B-0F03A695A88D}"/>
            </c:ext>
          </c:extLst>
        </c:ser>
        <c:ser>
          <c:idx val="1"/>
          <c:order val="1"/>
          <c:tx>
            <c:strRef>
              <c:f>Dashboard!$C$9</c:f>
              <c:strCache>
                <c:ptCount val="1"/>
                <c:pt idx="0">
                  <c:v>Sum of AttritionRatePct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Dashboard!$C$10:$C$13</c:f>
              <c:numCache>
                <c:formatCode>General</c:formatCode>
                <c:ptCount val="3"/>
                <c:pt idx="0">
                  <c:v>19.05</c:v>
                </c:pt>
                <c:pt idx="1">
                  <c:v>13.84</c:v>
                </c:pt>
                <c:pt idx="2">
                  <c:v>20.63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BC-454E-B27B-0F03A695A88D}"/>
            </c:ext>
          </c:extLst>
        </c:ser>
        <c:ser>
          <c:idx val="2"/>
          <c:order val="2"/>
          <c:tx>
            <c:strRef>
              <c:f>Dashboard!$D$9</c:f>
              <c:strCache>
                <c:ptCount val="1"/>
                <c:pt idx="0">
                  <c:v>Sum of AvgTenureYears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Dashboard!$D$10:$D$13</c:f>
              <c:numCache>
                <c:formatCode>General</c:formatCode>
                <c:ptCount val="3"/>
                <c:pt idx="0">
                  <c:v>7.24</c:v>
                </c:pt>
                <c:pt idx="1">
                  <c:v>6.86</c:v>
                </c:pt>
                <c:pt idx="2">
                  <c:v>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BC-454E-B27B-0F03A695A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049839"/>
        <c:axId val="1120200975"/>
      </c:barChart>
      <c:catAx>
        <c:axId val="1107049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200975"/>
        <c:crosses val="autoZero"/>
        <c:auto val="1"/>
        <c:lblAlgn val="ctr"/>
        <c:lblOffset val="100"/>
        <c:noMultiLvlLbl val="0"/>
      </c:catAx>
      <c:valAx>
        <c:axId val="112020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04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[HR_Dashboard.xlsm]Dashboard!PivotTable1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Dashboard!$B$9</c:f>
              <c:strCache>
                <c:ptCount val="1"/>
                <c:pt idx="0">
                  <c:v>Sum of Headcount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Dashboard!$B$10:$B$13</c:f>
              <c:numCache>
                <c:formatCode>General</c:formatCode>
                <c:ptCount val="3"/>
                <c:pt idx="0">
                  <c:v>63</c:v>
                </c:pt>
                <c:pt idx="1">
                  <c:v>961</c:v>
                </c:pt>
                <c:pt idx="2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6-486A-89CE-B2737AC45C0F}"/>
            </c:ext>
          </c:extLst>
        </c:ser>
        <c:ser>
          <c:idx val="1"/>
          <c:order val="1"/>
          <c:tx>
            <c:strRef>
              <c:f>Dashboard!$C$9</c:f>
              <c:strCache>
                <c:ptCount val="1"/>
                <c:pt idx="0">
                  <c:v>Sum of AttritionRatePct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Dashboard!$C$10:$C$13</c:f>
              <c:numCache>
                <c:formatCode>General</c:formatCode>
                <c:ptCount val="3"/>
                <c:pt idx="0">
                  <c:v>19.05</c:v>
                </c:pt>
                <c:pt idx="1">
                  <c:v>13.84</c:v>
                </c:pt>
                <c:pt idx="2">
                  <c:v>20.63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86-486A-89CE-B2737AC45C0F}"/>
            </c:ext>
          </c:extLst>
        </c:ser>
        <c:ser>
          <c:idx val="2"/>
          <c:order val="2"/>
          <c:tx>
            <c:strRef>
              <c:f>Dashboard!$D$9</c:f>
              <c:strCache>
                <c:ptCount val="1"/>
                <c:pt idx="0">
                  <c:v>Sum of AvgTenureYears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Dashboard!$A$10:$A$13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Dashboard!$D$10:$D$13</c:f>
              <c:numCache>
                <c:formatCode>General</c:formatCode>
                <c:ptCount val="3"/>
                <c:pt idx="0">
                  <c:v>7.24</c:v>
                </c:pt>
                <c:pt idx="1">
                  <c:v>6.86</c:v>
                </c:pt>
                <c:pt idx="2">
                  <c:v>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86-486A-89CE-B2737AC45C0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152400</xdr:rowOff>
    </xdr:from>
    <xdr:to>
      <xdr:col>13</xdr:col>
      <xdr:colOff>251460</xdr:colOff>
      <xdr:row>4</xdr:row>
      <xdr:rowOff>60960</xdr:rowOff>
    </xdr:to>
    <xdr:sp macro="[0]!RefreshAndExport" textlink="">
      <xdr:nvSpPr>
        <xdr:cNvPr id="2" name="Oval 1">
          <a:extLst>
            <a:ext uri="{FF2B5EF4-FFF2-40B4-BE49-F238E27FC236}">
              <a16:creationId xmlns:a16="http://schemas.microsoft.com/office/drawing/2014/main" id="{262E6FCC-4E60-03A5-EB8B-D2A15A1D49ED}"/>
            </a:ext>
          </a:extLst>
        </xdr:cNvPr>
        <xdr:cNvSpPr/>
      </xdr:nvSpPr>
      <xdr:spPr>
        <a:xfrm>
          <a:off x="5715000" y="152400"/>
          <a:ext cx="246126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/>
            <a:t>People Insights Dashboard</a:t>
          </a:r>
          <a:endParaRPr lang="en-AU" sz="1100"/>
        </a:p>
      </xdr:txBody>
    </xdr:sp>
    <xdr:clientData/>
  </xdr:twoCellAnchor>
  <xdr:twoCellAnchor>
    <xdr:from>
      <xdr:col>0</xdr:col>
      <xdr:colOff>228600</xdr:colOff>
      <xdr:row>14</xdr:row>
      <xdr:rowOff>26670</xdr:rowOff>
    </xdr:from>
    <xdr:to>
      <xdr:col>3</xdr:col>
      <xdr:colOff>800100</xdr:colOff>
      <xdr:row>29</xdr:row>
      <xdr:rowOff>26670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B0DB4B-37A2-B599-FF39-7FADD1A24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243840</xdr:colOff>
      <xdr:row>30</xdr:row>
      <xdr:rowOff>57150</xdr:rowOff>
    </xdr:from>
    <xdr:to>
      <xdr:col>3</xdr:col>
      <xdr:colOff>815340</xdr:colOff>
      <xdr:row>45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CA4116C-F20F-26F7-C1F4-CDE5B5998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sheeraja K S" refreshedDate="45948.819228009263" createdVersion="8" refreshedVersion="8" minRefreshableVersion="3" recordCount="3" xr:uid="{A600EA92-E85D-44BC-83E2-578C63A6F9A3}">
  <cacheSource type="worksheet">
    <worksheetSource name="tblKpiDepartment"/>
  </cacheSource>
  <cacheFields count="7">
    <cacheField name="Department" numFmtId="0">
      <sharedItems count="3">
        <s v="Human Resources"/>
        <s v="Sales"/>
        <s v="Research &amp; Development"/>
      </sharedItems>
    </cacheField>
    <cacheField name="Headcount" numFmtId="0">
      <sharedItems containsSemiMixedTypes="0" containsString="0" containsNumber="1" containsInteger="1" minValue="63" maxValue="961"/>
    </cacheField>
    <cacheField name="AvgTenureYears" numFmtId="0">
      <sharedItems containsSemiMixedTypes="0" containsString="0" containsNumber="1" minValue="6.86" maxValue="7.28"/>
    </cacheField>
    <cacheField name="AvgMonthlyIncome" numFmtId="0">
      <sharedItems containsSemiMixedTypes="0" containsString="0" containsNumber="1" minValue="6281.25" maxValue="6959.17"/>
    </cacheField>
    <cacheField name="AttritionRatePct" numFmtId="0">
      <sharedItems containsSemiMixedTypes="0" containsString="0" containsNumber="1" minValue="13.84" maxValue="20.63"/>
    </cacheField>
    <cacheField name="FemalePct" numFmtId="0">
      <sharedItems containsSemiMixedTypes="0" containsString="0" containsNumber="1" minValue="31.75" maxValue="42.38"/>
    </cacheField>
    <cacheField name="OvertimePct" numFmtId="0">
      <sharedItems containsSemiMixedTypes="0" containsString="0" containsNumber="1" minValue="26.98" maxValue="28.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63"/>
    <n v="7.24"/>
    <n v="6654.51"/>
    <n v="19.05"/>
    <n v="31.75"/>
    <n v="26.98"/>
  </r>
  <r>
    <x v="1"/>
    <n v="446"/>
    <n v="7.28"/>
    <n v="6959.17"/>
    <n v="20.63"/>
    <n v="42.38"/>
    <n v="28.7"/>
  </r>
  <r>
    <x v="2"/>
    <n v="961"/>
    <n v="6.86"/>
    <n v="6281.25"/>
    <n v="13.84"/>
    <n v="39.44"/>
    <n v="28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FD2CBE-8C1A-40F8-9524-146D53C96591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9:D13" firstHeaderRow="0" firstDataRow="1" firstDataCol="1"/>
  <pivotFields count="7">
    <pivotField axis="axisRow" showAll="0">
      <items count="4">
        <item x="0"/>
        <item x="2"/>
        <item x="1"/>
        <item t="default"/>
      </items>
    </pivotField>
    <pivotField dataField="1" showAll="0"/>
    <pivotField dataField="1" showAll="0"/>
    <pivotField showAll="0"/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Headcount" fld="1" baseField="0" baseItem="0"/>
    <dataField name="Sum of AttritionRatePct" fld="4" baseField="0" baseItem="0"/>
    <dataField name="Sum of AvgTenureYears" fld="2" baseField="0" baseItem="0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9283B6F-3088-439D-AFDD-18296B27A251}" name="tblKpiOverview" displayName="tblKpiOverview" ref="A1:E2" totalsRowShown="0" headerRowDxfId="0" dataDxfId="1" tableBorderDxfId="7">
  <autoFilter ref="A1:E2" xr:uid="{29283B6F-3088-439D-AFDD-18296B27A251}"/>
  <tableColumns count="5">
    <tableColumn id="1" xr3:uid="{F576C619-6A60-467D-A8CB-3D7344B7E10F}" name="TotalHeadcount" dataDxfId="6"/>
    <tableColumn id="2" xr3:uid="{10BAC5EA-04BB-4A79-818E-FD81D9E77927}" name="AttritionCount" dataDxfId="5"/>
    <tableColumn id="3" xr3:uid="{0B5AAA02-20F3-408D-8265-C75D28DED3CC}" name="AttritionRatePct" dataDxfId="4"/>
    <tableColumn id="4" xr3:uid="{BC9C069B-47F5-4EA6-836E-D5B3E4472575}" name="AvgTenureYears" dataDxfId="3"/>
    <tableColumn id="5" xr3:uid="{6F80E724-CBB6-447F-B538-F4F3FE933C6F}" name="AvgMonthlyIncom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381DA9-B785-4BEF-A275-D5E2880FF854}" name="tblKpiDepartment" displayName="tblKpiDepartment" ref="A1:G4" totalsRowShown="0">
  <autoFilter ref="A1:G4" xr:uid="{B4381DA9-B785-4BEF-A275-D5E2880FF854}"/>
  <tableColumns count="7">
    <tableColumn id="1" xr3:uid="{FF44C8B6-EB1F-4531-8231-24C046A441D1}" name="Department"/>
    <tableColumn id="2" xr3:uid="{705446EB-EE5B-4D04-B80C-912ED8BC100D}" name="Headcount"/>
    <tableColumn id="3" xr3:uid="{B6A253B4-BEA1-430D-8FD2-FFD5F4E04A7D}" name="AvgTenureYears"/>
    <tableColumn id="4" xr3:uid="{67A1848A-6C0F-4E58-B3F2-D08BD4624A93}" name="AvgMonthlyIncome"/>
    <tableColumn id="5" xr3:uid="{CAB568B8-4AE0-48B8-A7D9-907B6F8C05E9}" name="AttritionRatePct"/>
    <tableColumn id="6" xr3:uid="{F64C96F7-37E1-476B-A127-BB9DD180A085}" name="FemalePct"/>
    <tableColumn id="7" xr3:uid="{0E3D8807-CD94-469E-9EC8-A00358B4819C}" name="OvertimePc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9E5972-81D2-4E0A-897B-22E02DA88895}" name="tblAttritionTenure" displayName="tblAttritionTenure" ref="A1:E5" totalsRowShown="0">
  <autoFilter ref="A1:E5" xr:uid="{419E5972-81D2-4E0A-897B-22E02DA88895}"/>
  <tableColumns count="5">
    <tableColumn id="1" xr3:uid="{465430A2-3C44-4A77-A5F5-A8F79F5A1209}" name="TenureGroup"/>
    <tableColumn id="2" xr3:uid="{EE0FD503-F974-4D21-BB42-B2D3C191F410}" name="LeftCount"/>
    <tableColumn id="3" xr3:uid="{30A24FCE-AD10-4776-8DC3-EDBA63EB884C}" name="TotalCount"/>
    <tableColumn id="4" xr3:uid="{522186B1-21EF-4D88-BAED-405CA17F4579}" name="AttritionRatePct"/>
    <tableColumn id="5" xr3:uid="{253F7C6D-2617-454E-93DC-23E639359570}" name="TenureSo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90D6C52-3CD3-471F-A877-9FC59A35E6B3}" name="tblOvertimeAttrition" displayName="tblOvertimeAttrition" ref="A1:D3" totalsRowShown="0">
  <autoFilter ref="A1:D3" xr:uid="{E90D6C52-3CD3-471F-A877-9FC59A35E6B3}"/>
  <tableColumns count="4">
    <tableColumn id="1" xr3:uid="{FCF96FEA-FDAE-4EAD-8ADA-22BA827A5C73}" name="OverTime"/>
    <tableColumn id="2" xr3:uid="{EEFEC936-3209-49EA-8A7B-59DE4C9FF0B3}" name="LeftCount"/>
    <tableColumn id="3" xr3:uid="{B09B72B3-A2D8-4BCC-B5F9-C0BB85B94E8E}" name="TotalCount"/>
    <tableColumn id="4" xr3:uid="{964C52A3-6BE1-4DA6-8315-07981DA75280}" name="AttritionRateP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F5AB-F2B3-4B58-A93B-BBC240BAE877}">
  <sheetPr codeName="Sheet1"/>
  <dimension ref="A1:B6"/>
  <sheetViews>
    <sheetView workbookViewId="0">
      <selection activeCell="D15" sqref="D15"/>
    </sheetView>
  </sheetViews>
  <sheetFormatPr defaultColWidth="17" defaultRowHeight="14.4" x14ac:dyDescent="0.3"/>
  <sheetData>
    <row r="1" spans="1:2" ht="43.2" x14ac:dyDescent="0.3">
      <c r="A1" s="1" t="s">
        <v>0</v>
      </c>
      <c r="B1" s="1" t="s">
        <v>1</v>
      </c>
    </row>
    <row r="2" spans="1:2" x14ac:dyDescent="0.3">
      <c r="A2" s="2" t="s">
        <v>2</v>
      </c>
      <c r="B2" s="2" t="s">
        <v>26</v>
      </c>
    </row>
    <row r="3" spans="1:2" ht="28.8" x14ac:dyDescent="0.3">
      <c r="A3" s="2" t="s">
        <v>3</v>
      </c>
      <c r="B3" s="2" t="s">
        <v>4</v>
      </c>
    </row>
    <row r="4" spans="1:2" ht="57.6" x14ac:dyDescent="0.3">
      <c r="A4" s="2" t="s">
        <v>5</v>
      </c>
      <c r="B4" s="2" t="s">
        <v>6</v>
      </c>
    </row>
    <row r="5" spans="1:2" ht="28.8" x14ac:dyDescent="0.3">
      <c r="A5" s="2" t="s">
        <v>7</v>
      </c>
      <c r="B5" s="2" t="s">
        <v>27</v>
      </c>
    </row>
    <row r="6" spans="1:2" ht="43.2" x14ac:dyDescent="0.3">
      <c r="A6" s="2" t="s">
        <v>8</v>
      </c>
      <c r="B6" s="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D55F-04BA-4F3F-87FA-7D8483D6ED5E}">
  <sheetPr codeName="Sheet2"/>
  <dimension ref="A1:E2"/>
  <sheetViews>
    <sheetView workbookViewId="0"/>
  </sheetViews>
  <sheetFormatPr defaultRowHeight="14.4" x14ac:dyDescent="0.3"/>
  <cols>
    <col min="1" max="1" width="16.109375" customWidth="1"/>
    <col min="2" max="2" width="14.6640625" customWidth="1"/>
    <col min="3" max="3" width="16.33203125" customWidth="1"/>
    <col min="4" max="4" width="15.88671875" customWidth="1"/>
    <col min="5" max="5" width="18.5546875" customWidth="1"/>
  </cols>
  <sheetData>
    <row r="1" spans="1:5" x14ac:dyDescent="0.3">
      <c r="A1" s="3" t="s">
        <v>10</v>
      </c>
      <c r="B1" s="3" t="s">
        <v>11</v>
      </c>
      <c r="C1" s="3" t="s">
        <v>12</v>
      </c>
      <c r="D1" s="3" t="s">
        <v>13</v>
      </c>
      <c r="E1" s="3" t="s">
        <v>14</v>
      </c>
    </row>
    <row r="2" spans="1:5" x14ac:dyDescent="0.3">
      <c r="A2" s="4">
        <v>1470</v>
      </c>
      <c r="B2" s="4">
        <v>237</v>
      </c>
      <c r="C2" s="4">
        <v>16.12</v>
      </c>
      <c r="D2" s="4">
        <v>7.0081629999999997</v>
      </c>
      <c r="E2" s="4">
        <v>6502.9312920000002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9B8BB-44B5-4BA9-BCCA-75E677F7CA43}">
  <sheetPr codeName="Sheet3"/>
  <dimension ref="A9:D13"/>
  <sheetViews>
    <sheetView tabSelected="1" topLeftCell="A20" workbookViewId="0">
      <selection activeCell="F26" sqref="F26"/>
    </sheetView>
  </sheetViews>
  <sheetFormatPr defaultRowHeight="14.4" x14ac:dyDescent="0.3"/>
  <cols>
    <col min="1" max="1" width="21.44140625" bestFit="1" customWidth="1"/>
    <col min="2" max="2" width="16.21875" bestFit="1" customWidth="1"/>
    <col min="3" max="3" width="20.6640625" bestFit="1" customWidth="1"/>
    <col min="4" max="4" width="20.21875" bestFit="1" customWidth="1"/>
  </cols>
  <sheetData>
    <row r="9" spans="1:4" x14ac:dyDescent="0.3">
      <c r="A9" s="5" t="s">
        <v>35</v>
      </c>
      <c r="B9" t="s">
        <v>37</v>
      </c>
      <c r="C9" t="s">
        <v>38</v>
      </c>
      <c r="D9" t="s">
        <v>39</v>
      </c>
    </row>
    <row r="10" spans="1:4" x14ac:dyDescent="0.3">
      <c r="A10" s="6" t="s">
        <v>32</v>
      </c>
      <c r="B10" s="7">
        <v>63</v>
      </c>
      <c r="C10" s="7">
        <v>19.05</v>
      </c>
      <c r="D10" s="7">
        <v>7.24</v>
      </c>
    </row>
    <row r="11" spans="1:4" x14ac:dyDescent="0.3">
      <c r="A11" s="6" t="s">
        <v>34</v>
      </c>
      <c r="B11" s="7">
        <v>961</v>
      </c>
      <c r="C11" s="7">
        <v>13.84</v>
      </c>
      <c r="D11" s="7">
        <v>6.86</v>
      </c>
    </row>
    <row r="12" spans="1:4" x14ac:dyDescent="0.3">
      <c r="A12" s="6" t="s">
        <v>33</v>
      </c>
      <c r="B12" s="7">
        <v>446</v>
      </c>
      <c r="C12" s="7">
        <v>20.63</v>
      </c>
      <c r="D12" s="7">
        <v>7.28</v>
      </c>
    </row>
    <row r="13" spans="1:4" x14ac:dyDescent="0.3">
      <c r="A13" s="6" t="s">
        <v>36</v>
      </c>
      <c r="B13" s="7">
        <v>1470</v>
      </c>
      <c r="C13" s="7">
        <v>53.519999999999996</v>
      </c>
      <c r="D13" s="7">
        <v>21.380000000000003</v>
      </c>
    </row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83F73-8328-44B8-A048-EC51B4A5A857}">
  <sheetPr codeName="Sheet4"/>
  <dimension ref="A1:G4"/>
  <sheetViews>
    <sheetView workbookViewId="0"/>
  </sheetViews>
  <sheetFormatPr defaultRowHeight="14.4" x14ac:dyDescent="0.3"/>
  <cols>
    <col min="1" max="1" width="12.88671875" customWidth="1"/>
    <col min="2" max="2" width="12" customWidth="1"/>
    <col min="3" max="3" width="15.88671875" customWidth="1"/>
    <col min="4" max="4" width="18.5546875" customWidth="1"/>
    <col min="5" max="5" width="16.33203125" customWidth="1"/>
    <col min="6" max="6" width="11.88671875" customWidth="1"/>
    <col min="7" max="7" width="13.44140625" customWidth="1"/>
  </cols>
  <sheetData>
    <row r="1" spans="1:7" x14ac:dyDescent="0.3">
      <c r="A1" t="s">
        <v>28</v>
      </c>
      <c r="B1" t="s">
        <v>29</v>
      </c>
      <c r="C1" t="s">
        <v>13</v>
      </c>
      <c r="D1" t="s">
        <v>14</v>
      </c>
      <c r="E1" t="s">
        <v>12</v>
      </c>
      <c r="F1" t="s">
        <v>30</v>
      </c>
      <c r="G1" t="s">
        <v>31</v>
      </c>
    </row>
    <row r="2" spans="1:7" x14ac:dyDescent="0.3">
      <c r="A2" t="s">
        <v>32</v>
      </c>
      <c r="B2">
        <v>63</v>
      </c>
      <c r="C2">
        <v>7.24</v>
      </c>
      <c r="D2">
        <v>6654.51</v>
      </c>
      <c r="E2">
        <v>19.05</v>
      </c>
      <c r="F2">
        <v>31.75</v>
      </c>
      <c r="G2">
        <v>26.98</v>
      </c>
    </row>
    <row r="3" spans="1:7" x14ac:dyDescent="0.3">
      <c r="A3" t="s">
        <v>33</v>
      </c>
      <c r="B3">
        <v>446</v>
      </c>
      <c r="C3">
        <v>7.28</v>
      </c>
      <c r="D3">
        <v>6959.17</v>
      </c>
      <c r="E3">
        <v>20.63</v>
      </c>
      <c r="F3">
        <v>42.38</v>
      </c>
      <c r="G3">
        <v>28.7</v>
      </c>
    </row>
    <row r="4" spans="1:7" x14ac:dyDescent="0.3">
      <c r="A4" t="s">
        <v>34</v>
      </c>
      <c r="B4">
        <v>961</v>
      </c>
      <c r="C4">
        <v>6.86</v>
      </c>
      <c r="D4">
        <v>6281.25</v>
      </c>
      <c r="E4">
        <v>13.84</v>
      </c>
      <c r="F4">
        <v>39.44</v>
      </c>
      <c r="G4">
        <v>28.2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221A-038A-4F9D-9A6E-D05F9C1903C2}">
  <sheetPr codeName="Sheet5"/>
  <dimension ref="A1:E5"/>
  <sheetViews>
    <sheetView workbookViewId="0"/>
  </sheetViews>
  <sheetFormatPr defaultRowHeight="14.4" x14ac:dyDescent="0.3"/>
  <cols>
    <col min="1" max="1" width="13.5546875" customWidth="1"/>
    <col min="2" max="2" width="10.88671875" customWidth="1"/>
    <col min="3" max="3" width="11.88671875" customWidth="1"/>
    <col min="4" max="4" width="16.33203125" customWidth="1"/>
    <col min="5" max="5" width="11.88671875" customWidth="1"/>
  </cols>
  <sheetData>
    <row r="1" spans="1:5" x14ac:dyDescent="0.3">
      <c r="A1" t="s">
        <v>19</v>
      </c>
      <c r="B1" t="s">
        <v>20</v>
      </c>
      <c r="C1" t="s">
        <v>21</v>
      </c>
      <c r="D1" t="s">
        <v>12</v>
      </c>
      <c r="E1" t="s">
        <v>22</v>
      </c>
    </row>
    <row r="2" spans="1:5" x14ac:dyDescent="0.3">
      <c r="A2" t="s">
        <v>15</v>
      </c>
      <c r="B2">
        <v>106</v>
      </c>
      <c r="C2">
        <v>426</v>
      </c>
      <c r="D2">
        <v>24.88</v>
      </c>
      <c r="E2">
        <v>2</v>
      </c>
    </row>
    <row r="3" spans="1:5" x14ac:dyDescent="0.3">
      <c r="A3" t="s">
        <v>16</v>
      </c>
      <c r="B3">
        <v>16</v>
      </c>
      <c r="C3">
        <v>44</v>
      </c>
      <c r="D3">
        <v>36.36</v>
      </c>
      <c r="E3">
        <v>1</v>
      </c>
    </row>
    <row r="4" spans="1:5" x14ac:dyDescent="0.3">
      <c r="A4" t="s">
        <v>17</v>
      </c>
      <c r="B4">
        <v>55</v>
      </c>
      <c r="C4">
        <v>528</v>
      </c>
      <c r="D4">
        <v>10.42</v>
      </c>
      <c r="E4">
        <v>4</v>
      </c>
    </row>
    <row r="5" spans="1:5" x14ac:dyDescent="0.3">
      <c r="A5" t="s">
        <v>18</v>
      </c>
      <c r="B5">
        <v>60</v>
      </c>
      <c r="C5">
        <v>472</v>
      </c>
      <c r="D5">
        <v>12.71</v>
      </c>
      <c r="E5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E4A3-A83E-49A2-8206-06401E13A082}">
  <sheetPr codeName="Sheet6"/>
  <dimension ref="A1:D3"/>
  <sheetViews>
    <sheetView workbookViewId="0"/>
  </sheetViews>
  <sheetFormatPr defaultRowHeight="14.4" x14ac:dyDescent="0.3"/>
  <cols>
    <col min="1" max="2" width="10.88671875" customWidth="1"/>
    <col min="3" max="3" width="11.88671875" customWidth="1"/>
    <col min="4" max="4" width="16.33203125" customWidth="1"/>
  </cols>
  <sheetData>
    <row r="1" spans="1:4" x14ac:dyDescent="0.3">
      <c r="A1" t="s">
        <v>25</v>
      </c>
      <c r="B1" t="s">
        <v>20</v>
      </c>
      <c r="C1" t="s">
        <v>21</v>
      </c>
      <c r="D1" t="s">
        <v>12</v>
      </c>
    </row>
    <row r="2" spans="1:4" x14ac:dyDescent="0.3">
      <c r="A2" t="s">
        <v>23</v>
      </c>
      <c r="B2">
        <v>127</v>
      </c>
      <c r="C2">
        <v>416</v>
      </c>
      <c r="D2">
        <v>30.53</v>
      </c>
    </row>
    <row r="3" spans="1:4" x14ac:dyDescent="0.3">
      <c r="A3" t="s">
        <v>24</v>
      </c>
      <c r="B3">
        <v>110</v>
      </c>
      <c r="C3">
        <v>1054</v>
      </c>
      <c r="D3">
        <v>10.44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Config</vt:lpstr>
      <vt:lpstr>Data</vt:lpstr>
      <vt:lpstr>Dashboard</vt:lpstr>
      <vt:lpstr>Data_KpiDept</vt:lpstr>
      <vt:lpstr>Data_Tenure</vt:lpstr>
      <vt:lpstr>Data_Overtime</vt:lpstr>
      <vt:lpstr>A</vt:lpstr>
      <vt:lpstr>DatabaseName</vt:lpstr>
      <vt:lpstr>DepartmentFilter__opt.</vt:lpstr>
      <vt:lpstr>ExportFolder</vt:lpstr>
      <vt:lpstr>PDFFilePrefix</vt:lpstr>
      <vt:lpstr>ServerName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ksheeraja k.s.</dc:creator>
  <cp:lastModifiedBy>ksheeraja k.s.</cp:lastModifiedBy>
  <cp:lastPrinted>2025-10-18T09:08:25Z</cp:lastPrinted>
  <dcterms:created xsi:type="dcterms:W3CDTF">2025-10-18T08:18:37Z</dcterms:created>
  <dcterms:modified xsi:type="dcterms:W3CDTF">2025-10-18T09:27:58Z</dcterms:modified>
</cp:coreProperties>
</file>