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D:\Projects\HR_Project\"/>
    </mc:Choice>
  </mc:AlternateContent>
  <xr:revisionPtr revIDLastSave="0" documentId="13_ncr:1_{EB0F4D8F-04DC-4CC3-B6AE-3FCA9627FB85}" xr6:coauthVersionLast="47" xr6:coauthVersionMax="47" xr10:uidLastSave="{00000000-0000-0000-0000-000000000000}"/>
  <bookViews>
    <workbookView xWindow="-108" yWindow="-108" windowWidth="23256" windowHeight="12456" firstSheet="2" activeTab="2" xr2:uid="{FA0798F2-99B3-4FF8-AC49-D4C531A9DB8A}"/>
  </bookViews>
  <sheets>
    <sheet name="Config" sheetId="1" r:id="rId1"/>
    <sheet name="Data" sheetId="2" r:id="rId2"/>
    <sheet name="Dashboard" sheetId="3" r:id="rId3"/>
    <sheet name="Data_KpiDept" sheetId="4" r:id="rId4"/>
    <sheet name="Data_Tenure" sheetId="5" r:id="rId5"/>
    <sheet name="Data_Overtime" sheetId="6" r:id="rId6"/>
    <sheet name="Data_Issues_Log" sheetId="7" r:id="rId7"/>
    <sheet name="Data_Dictionary" sheetId="8" r:id="rId8"/>
    <sheet name="KPI_Definitions" sheetId="9" r:id="rId9"/>
  </sheets>
  <definedNames>
    <definedName name="_xleta.COUNT" hidden="1" xlm="1">#NAME?</definedName>
    <definedName name="_xleta.OR" hidden="1" xlm="1">#NAME?</definedName>
    <definedName name="A">Config!$B$1</definedName>
    <definedName name="DatabaseName">Config!$B$3</definedName>
    <definedName name="DepartmentFilter__opt.">Config!$B$4</definedName>
    <definedName name="ExportFolder">Config!$B$5</definedName>
    <definedName name="PDFFilePrefix">Config!$B$6</definedName>
    <definedName name="_xlnm.Print_Area" localSheetId="7">Data_Dictionary!$A$1:$F$34</definedName>
    <definedName name="_xlnm.Print_Area" localSheetId="6">Data_Issues_Log!$A$1:$G$8</definedName>
    <definedName name="_xlnm.Print_Area" localSheetId="8">KPI_Definitions!$A$1:$D$27</definedName>
    <definedName name="ServerName">Config!$B$2</definedName>
  </definedNames>
  <calcPr calcId="191029"/>
  <pivotCaches>
    <pivotCache cacheId="32"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<sst xmlns="http://schemas.openxmlformats.org/spreadsheetml/2006/main" count="333" uniqueCount="265">
  <si>
    <t>A</t>
  </si>
  <si>
    <t>B (example)</t>
  </si>
  <si>
    <t>ServerName</t>
  </si>
  <si>
    <t>DatabaseName</t>
  </si>
  <si>
    <t>PeopleInsights</t>
  </si>
  <si>
    <t>DepartmentFilter (opt.)</t>
  </si>
  <si>
    <t>(leave blank or e.g. Sales)</t>
  </si>
  <si>
    <t>ExportFolder</t>
  </si>
  <si>
    <t>PDFFilePrefix</t>
  </si>
  <si>
    <t>HR_Monthly_Report</t>
  </si>
  <si>
    <t>TotalHeadcount</t>
  </si>
  <si>
    <t>AttritionCount</t>
  </si>
  <si>
    <t>AttritionRatePct</t>
  </si>
  <si>
    <t>AvgTenureYears</t>
  </si>
  <si>
    <t>AvgMonthlyIncome</t>
  </si>
  <si>
    <t>1–3 Years</t>
  </si>
  <si>
    <t>&lt;1 Year</t>
  </si>
  <si>
    <t>8+ Years</t>
  </si>
  <si>
    <t>4–7 Years</t>
  </si>
  <si>
    <t>TenureGroup</t>
  </si>
  <si>
    <t>LeftCount</t>
  </si>
  <si>
    <t>TotalCount</t>
  </si>
  <si>
    <t>TenureSort</t>
  </si>
  <si>
    <t>Yes</t>
  </si>
  <si>
    <t>No</t>
  </si>
  <si>
    <t>OverTime</t>
  </si>
  <si>
    <t>KSHEERAJA\SQLEXPRESS</t>
  </si>
  <si>
    <t>D:\Projects\HR_Project\Exports</t>
  </si>
  <si>
    <t>Department</t>
  </si>
  <si>
    <t>Headcount</t>
  </si>
  <si>
    <t>FemalePct</t>
  </si>
  <si>
    <t>OvertimePct</t>
  </si>
  <si>
    <t>Human Resources</t>
  </si>
  <si>
    <t>Sales</t>
  </si>
  <si>
    <t>Research &amp; Development</t>
  </si>
  <si>
    <t>Row Labels</t>
  </si>
  <si>
    <t>Grand Total</t>
  </si>
  <si>
    <t>Sum of Headcount</t>
  </si>
  <si>
    <t>Sum of AttritionRatePct</t>
  </si>
  <si>
    <t>Sum of AvgTenureYears</t>
  </si>
  <si>
    <t>Issue_ID</t>
  </si>
  <si>
    <t>Category</t>
  </si>
  <si>
    <t>Description</t>
  </si>
  <si>
    <t>Impact_on_Reporting</t>
  </si>
  <si>
    <t>How_Detected</t>
  </si>
  <si>
    <t>Resolution_or_Mitigation</t>
  </si>
  <si>
    <t>Status</t>
  </si>
  <si>
    <t>DQ-001</t>
  </si>
  <si>
    <t>KPI Aggregation / Business Logic</t>
  </si>
  <si>
    <t>The pivot table shows “Sum of AvgTenureYears” with a total of 21.38, which is just the sum of departmental averages (7.24 + 6.86 + 7.28) rather than a true overall average tenure.</t>
  </si>
  <si>
    <t>The “Grand Total” tenure figure is misleading and not interpretable as an actual HR metric. It may lead managers to misread overall tenure.</t>
  </si>
  <si>
    <t>Checked the pivot table field name and totals; noticed “Sum of AvgTenureYears” and an unrealistic combined number.</t>
  </si>
  <si>
    <t>To be fixed</t>
  </si>
  <si>
    <t>1. Change the value field settings to Average on the underlying tenure field (e.g. YearsAtCompany). 2. Remove the “Grand Total” row for averages unless calculating a weighted average. 3. Document in KPI definitions that tenure is always reported as an average, not a sum.</t>
  </si>
  <si>
    <t>DQ-002</t>
  </si>
  <si>
    <t>KPI Definition / Calculation</t>
  </si>
  <si>
    <t>The pivot shows “Sum of AttritionRatePct” with a grand total of 53.52. This appears to be the sum of departmental percentages, which is not meaningful as a total attrition rate.</t>
  </si>
  <si>
    <t>The total attrition figure is mathematically invalid and could be misinterpreted as overall organisational attrition.</t>
  </si>
  <si>
    <t>Observed that departmental attrition rates (19.05, 13.84, 20.63) are added together in the total row.</t>
  </si>
  <si>
    <t>1. Define attrition as: Number of leavers during the period / average headcount during the period. 2. Recompute attrition at the fact level (per employee/month), then summarise using this formula, not by summing rates. 3. Remove or hide the total row for attrition in the pivot, or replace it with a correctly calculated overall rate.</t>
  </si>
  <si>
    <t>DQ-003</t>
  </si>
  <si>
    <t>Metadata / Naming Convention</t>
  </si>
  <si>
    <t>KPI labels such as “Sum of AvgTenureYears” are confusing and technically incorrect.</t>
  </si>
  <si>
    <t>Non-technical users may not understand what is being shown, reducing trust in the report and increasing the risk of misinterpretation.</t>
  </si>
  <si>
    <t>Reviewed pivot field captions and axis labels on charts.</t>
  </si>
  <si>
    <t>Attrition Rate (%)</t>
  </si>
  <si>
    <t>1. Rename fields to clear business terms, e.g.: Average Tenure (Years), Attrition Rate (%), Headcount. 2. Apply consistent naming across all tables and charts.</t>
  </si>
  <si>
    <t>Planned</t>
  </si>
  <si>
    <t>DQ-004</t>
  </si>
  <si>
    <t>Presentation / Business Logic</t>
  </si>
  <si>
    <t>The dashboard displays “Grand Total” rows for average tenure and attrition %, which are mathematically questionable (averages of averages; sums of rates).</t>
  </si>
  <si>
    <t>Totals can be misread as overall organisational metrics, leading to incorrect conclusions about tenure and attrition.</t>
  </si>
  <si>
    <t>Observed total row values for AvgTenureYears and AttritionRatePct and compared them to departmental values.</t>
  </si>
  <si>
    <t>1. Remove “Grand Total” rows for percentage and average fields in these pivot tables. 2. If an overall figure is required, calculate it explicitly (e.g. weighted average) outside the pivot and display it clearly as “Overall Tenure” or “Overall Attrition Rate”.</t>
  </si>
  <si>
    <t>DQ-005</t>
  </si>
  <si>
    <t>DQ-006</t>
  </si>
  <si>
    <t>DQ-007</t>
  </si>
  <si>
    <t>Data Model / Reporting Scope</t>
  </si>
  <si>
    <t>Coverage / Completeness</t>
  </si>
  <si>
    <t>Documentation / Data Governance</t>
  </si>
  <si>
    <t>The dashboard does not include visible documentation for how headcount, tenure and attrition are defined or calculated.</t>
  </si>
  <si>
    <t>Current dashboard only shows three departments: Human Resources, Research &amp; Development, Sales.</t>
  </si>
  <si>
    <t>The current dashboard appears to show a single snapshot by department without any date or month dimension.</t>
  </si>
  <si>
    <t>1. Cannot track trends over time (e.g. whether attrition is improving). 2. Hard to use the dashboard for strategic, longitudinal workforce analysis.</t>
  </si>
  <si>
    <t>If the underlying dataset contains more business units, they are not visible in the dashboard, leading to partial workforce insight.</t>
  </si>
  <si>
    <t>Different users may interpret the metrics differently, creating inconsistency in how the numbers are used in decision-making.</t>
  </si>
  <si>
    <t>No visible KPI definitions or assumptions in the PDF export.</t>
  </si>
  <si>
    <t>Reviewed department list in the pivot tables and charts.</t>
  </si>
  <si>
    <t>No visible date, period filters or time-based breakdown in the report pages.</t>
  </si>
  <si>
    <t>1. Introduce a ReportingMonth field and include it in the data model. 2. Add slicers or filters to allow month-over-month comparison. 3. Extend pivot tables to show changes across periods.</t>
  </si>
  <si>
    <t>Enhancement opportunity</t>
  </si>
  <si>
    <t>1. Confirm whether the source dataset includes additional departments. 2. If yes, update the pivots and charts to include them. 3.  If no, document that the dashboard is a subset view for illustration or pilot purposes.</t>
  </si>
  <si>
    <t>To be investigated</t>
  </si>
  <si>
    <t>1. Create a short KPI Definitions section in the report or README. 2. Include formulas for headcount, tenure and attrition. 3. Store KPI definitions alongside the data model as part of metadata.</t>
  </si>
  <si>
    <t>Field Name</t>
  </si>
  <si>
    <t>Data Type</t>
  </si>
  <si>
    <t>Validation Rules</t>
  </si>
  <si>
    <t>Notes</t>
  </si>
  <si>
    <t>EmployeeID</t>
  </si>
  <si>
    <t>Unique identifier for each employee</t>
  </si>
  <si>
    <t>Integer</t>
  </si>
  <si>
    <t>&gt; 0</t>
  </si>
  <si>
    <t>No duplicates, not null</t>
  </si>
  <si>
    <t>Primary Key</t>
  </si>
  <si>
    <t>Age</t>
  </si>
  <si>
    <t>Employee age in years</t>
  </si>
  <si>
    <t>18–70</t>
  </si>
  <si>
    <t>Flag &lt;18 or &gt;70</t>
  </si>
  <si>
    <t>Used in segmentation</t>
  </si>
  <si>
    <t>Gender</t>
  </si>
  <si>
    <t>Employee gender</t>
  </si>
  <si>
    <t>Text</t>
  </si>
  <si>
    <t>Male, Female, Other</t>
  </si>
  <si>
    <t>Standardise values</t>
  </si>
  <si>
    <t>May require anonymisation</t>
  </si>
  <si>
    <t>MaritalStatus</t>
  </si>
  <si>
    <t>Marital status</t>
  </si>
  <si>
    <t>Single, Married, Divorced</t>
  </si>
  <si>
    <t>No blanks</t>
  </si>
  <si>
    <t>Categorical field</t>
  </si>
  <si>
    <t>Functional area</t>
  </si>
  <si>
    <t>HR, Sales, R&amp;D</t>
  </si>
  <si>
    <t>Standardised naming</t>
  </si>
  <si>
    <t>Used in dashboard</t>
  </si>
  <si>
    <t>JobRole</t>
  </si>
  <si>
    <t>Title/role</t>
  </si>
  <si>
    <t>Must match controlled list</t>
  </si>
  <si>
    <t>Used for deeper segmentation</t>
  </si>
  <si>
    <t>JobLevel</t>
  </si>
  <si>
    <t>Seniority band</t>
  </si>
  <si>
    <t>1–5</t>
  </si>
  <si>
    <t>Must align with org structure</t>
  </si>
  <si>
    <t>YearsAtCompany</t>
  </si>
  <si>
    <t>Tenure</t>
  </si>
  <si>
    <t>Numeric</t>
  </si>
  <si>
    <t>≥ 0</t>
  </si>
  <si>
    <t>Must be numeric</t>
  </si>
  <si>
    <t>YearsInCurrentRole</t>
  </si>
  <si>
    <t>Time in current role</t>
  </si>
  <si>
    <t>Must not exceed YearsAtCompany</t>
  </si>
  <si>
    <t>YearsWithCurrManager</t>
  </si>
  <si>
    <t>Time with manager</t>
  </si>
  <si>
    <t>YearsSinceLastPromotion</t>
  </si>
  <si>
    <t>Promotion gap</t>
  </si>
  <si>
    <t>Value &gt; YearsAtCompany = invalid</t>
  </si>
  <si>
    <t>MonthlyIncome</t>
  </si>
  <si>
    <t>Current monthly salary</t>
  </si>
  <si>
    <t>&gt; 0; flag extreme outliers</t>
  </si>
  <si>
    <t>MonthlyRate</t>
  </si>
  <si>
    <t>Monthly rate</t>
  </si>
  <si>
    <t>HourlyRate</t>
  </si>
  <si>
    <t>Hourly compensation</t>
  </si>
  <si>
    <t>PercentSalaryHike</t>
  </si>
  <si>
    <t>Recent raise %</t>
  </si>
  <si>
    <t>0–100</t>
  </si>
  <si>
    <t>Compensation Fields</t>
  </si>
  <si>
    <t>Job &amp; Position Fields</t>
  </si>
  <si>
    <t>Employee Master Data Fields</t>
  </si>
  <si>
    <t>Performance &amp; Engagement Fields</t>
  </si>
  <si>
    <t>PerformanceRating</t>
  </si>
  <si>
    <t>Most recent rating</t>
  </si>
  <si>
    <t>1–4</t>
  </si>
  <si>
    <t>Often skewed in dataset</t>
  </si>
  <si>
    <t>JobSatisfaction</t>
  </si>
  <si>
    <t>Satisfaction score</t>
  </si>
  <si>
    <t>1 = Low, 4 = High</t>
  </si>
  <si>
    <t>EnvironmentSatisfaction</t>
  </si>
  <si>
    <t>Work environment satisfaction</t>
  </si>
  <si>
    <t>HR engagement metric</t>
  </si>
  <si>
    <t>WorkLifeBalance</t>
  </si>
  <si>
    <t>Work-life balance score</t>
  </si>
  <si>
    <t>Useful for attrition patterns</t>
  </si>
  <si>
    <t>Whether employee works overtime</t>
  </si>
  <si>
    <t>Yes / No</t>
  </si>
  <si>
    <t>Convert to Boolean for analysis</t>
  </si>
  <si>
    <t>Attrition Fields</t>
  </si>
  <si>
    <t>Attrition</t>
  </si>
  <si>
    <t>Whether employee left the company</t>
  </si>
  <si>
    <t>Yes/No</t>
  </si>
  <si>
    <t>Main target variable</t>
  </si>
  <si>
    <t>AttritionRatePct (Derived)</t>
  </si>
  <si>
    <t>Attrition % per department</t>
  </si>
  <si>
    <t>0–100%</t>
  </si>
  <si>
    <t>Should NOT be summed</t>
  </si>
  <si>
    <t>LeaversCount (Derived)</t>
  </si>
  <si>
    <t># of employees who left</t>
  </si>
  <si>
    <t>Only count Attrition = “Yes”</t>
  </si>
  <si>
    <t>Headcount (Derived)</t>
  </si>
  <si>
    <t>Total employees per group</t>
  </si>
  <si>
    <t>Used in KPI calculations</t>
  </si>
  <si>
    <t>KPI Name</t>
  </si>
  <si>
    <t>Definition</t>
  </si>
  <si>
    <t>Notes / HR Standard</t>
  </si>
  <si>
    <t>Total number of active employees in the dataset for the reporting period.</t>
  </si>
  <si>
    <t>New Hires</t>
  </si>
  <si>
    <t>Employees who joined during the reporting period.</t>
  </si>
  <si>
    <t>If dataset does not include HireDate, leave blank or note “Not available.”</t>
  </si>
  <si>
    <t>Leavers</t>
  </si>
  <si>
    <t>Employees who left the company during the reporting period.</t>
  </si>
  <si>
    <t>Used in attrition rate.</t>
  </si>
  <si>
    <t>=COUNTIF(Attrition,"No") or total employees if point-in-time</t>
  </si>
  <si>
    <t>Usually counts only active staff.</t>
  </si>
  <si>
    <t>Requires a “HireDate” column → =COUNTIFS(HireDate,"&gt;="&amp;StartDate, HireDate,"&lt;="&amp;EndDate)</t>
  </si>
  <si>
    <t>Section 1: Workforce Composition KPIs</t>
  </si>
  <si>
    <t>=COUNTIF(Attrition,"Yes")</t>
  </si>
  <si>
    <t>Section 2: Attrition Metrics</t>
  </si>
  <si>
    <t>Attrition Count</t>
  </si>
  <si>
    <t>Number of employees who left.</t>
  </si>
  <si>
    <t>Same as Leavers.</t>
  </si>
  <si>
    <t>% of employees who left during the reporting period.</t>
  </si>
  <si>
    <t>=Leavers / Headcount</t>
  </si>
  <si>
    <t>HR standard KPI. Usually annualised.</t>
  </si>
  <si>
    <t>Attrition by Department</t>
  </si>
  <si>
    <t>Attrition rate calculated separately by department.</t>
  </si>
  <si>
    <t>=COUNTIFS(Department,X,Attrition,"Yes") / COUNTIF(Department,X)</t>
  </si>
  <si>
    <t>Key HR KPI.</t>
  </si>
  <si>
    <t>Section 3: Performance &amp; Engagement KPIs</t>
  </si>
  <si>
    <t>Formula</t>
  </si>
  <si>
    <t>Avg Performance Rating</t>
  </si>
  <si>
    <t>Average rating of employees.</t>
  </si>
  <si>
    <t>=AVERAGE(PerformanceRating)</t>
  </si>
  <si>
    <t>Useful for performance distribution.</t>
  </si>
  <si>
    <t>High Performers %</t>
  </si>
  <si>
    <t>% of employees with rating 4.</t>
  </si>
  <si>
    <t>=COUNTIF(PerformanceRating,4)/Headcount</t>
  </si>
  <si>
    <t>Can adjust threshold.</t>
  </si>
  <si>
    <t>Avg Job Satisfaction</t>
  </si>
  <si>
    <t>Mean satisfaction score.</t>
  </si>
  <si>
    <t>=AVERAGE(JobSatisfaction)</t>
  </si>
  <si>
    <t>Based on 1–4 scale.</t>
  </si>
  <si>
    <t>Avg Work-Life Balance Score</t>
  </si>
  <si>
    <t>Avg WLB reported by staff.</t>
  </si>
  <si>
    <t>=AVERAGE(WorkLifeBalance)</t>
  </si>
  <si>
    <t>Flag &lt;2.5 as risk.</t>
  </si>
  <si>
    <t>Overtime Rate</t>
  </si>
  <si>
    <t>% employees working overtime.</t>
  </si>
  <si>
    <t>=COUNTIF(OverTime,"Yes")/Headcount</t>
  </si>
  <si>
    <t>Good for burnout risk.</t>
  </si>
  <si>
    <t>Section 4: Tenure Metrics</t>
  </si>
  <si>
    <t>Average Tenure (YearsAtCompany)</t>
  </si>
  <si>
    <t>Average length of service.</t>
  </si>
  <si>
    <t>=AVERAGE(YearsAtCompany)</t>
  </si>
  <si>
    <t>Used for workforce stability.</t>
  </si>
  <si>
    <t>High-Tenure Employees %</t>
  </si>
  <si>
    <t>% with &gt;5 years at company.</t>
  </si>
  <si>
    <t>=COUNTIF(YearsAtCompany,"&gt;5")/Headcount</t>
  </si>
  <si>
    <t>Often correlated with lower attrition.</t>
  </si>
  <si>
    <t>Avg Years in Current Role</t>
  </si>
  <si>
    <t>Mean time employees spent in current role.</t>
  </si>
  <si>
    <t>=AVERAGE(YearsInCurrentRole)</t>
  </si>
  <si>
    <t>Useful for workforce planning.</t>
  </si>
  <si>
    <t>Section 5: Compensation KPIs</t>
  </si>
  <si>
    <t>Average Monthly Income</t>
  </si>
  <si>
    <t>Mean income of active staff.</t>
  </si>
  <si>
    <t>=AVERAGE(MonthlyIncome)</t>
  </si>
  <si>
    <t>Outliers should be flagged.</t>
  </si>
  <si>
    <t>Compensation Spread</t>
  </si>
  <si>
    <t>Variance in salary range.</t>
  </si>
  <si>
    <t>=MAX(MonthlyIncome)-MIN(MonthlyIncome)</t>
  </si>
  <si>
    <t>Helps identify pay inequities.</t>
  </si>
  <si>
    <t>Salary Hike Average</t>
  </si>
  <si>
    <t>Average % salary hike.</t>
  </si>
  <si>
    <t>=AVERAGE(PercentSalaryHike)</t>
  </si>
  <si>
    <t>Useful for retention analysis.</t>
  </si>
  <si>
    <t>Validation/Allowed Values /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</si>
</sst>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b/>
      <sz val="11"/>
      <color theme="0"/>
      <name val="Aptos Narrow"/>
      <family val="2"/>
      <scheme val="minor"/>
    </font>
    <font>
      <sz val="8"/>
      <name val="Aptos Narrow"/>
      <family val="2"/>
      <scheme val="minor"/>
    </font>
    <font>
      <b/>
      <sz val="8"/>
      <color theme="0"/>
      <name val="Aptos Narrow"/>
      <family val="2"/>
      <scheme val="minor"/>
    </font>
    <font>
      <b/>
      <sz val="8"/>
      <color theme="1"/>
      <name val="Aptos Narrow"/>
      <family val="2"/>
      <scheme val="minor"/>
    </font>
    <font>
      <sz val="8"/>
      <color theme="1"/>
      <name val="Aptos Narrow"/>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pivotButton="1"/>
    <xf numFmtId="0" fontId="0" fillId="0" borderId="0" xfId="0" applyAlignment="1">
      <alignment horizontal="left"/>
    </xf>
    <xf numFmtId="0" fontId="2" fillId="2" borderId="0" xfId="0" applyFont="1" applyFill="1" applyBorder="1"/>
    <xf numFmtId="0" fontId="0" fillId="3" borderId="1" xfId="0" applyFont="1" applyFill="1" applyBorder="1"/>
    <xf numFmtId="0" fontId="0" fillId="0" borderId="0" xfId="0" applyNumberFormat="1"/>
    <xf numFmtId="0" fontId="4" fillId="2" borderId="0" xfId="0" applyFont="1" applyFill="1" applyBorder="1" applyAlignment="1">
      <alignment wrapText="1"/>
    </xf>
    <xf numFmtId="0" fontId="5" fillId="0" borderId="0" xfId="0" applyFont="1" applyAlignment="1">
      <alignment wrapText="1"/>
    </xf>
    <xf numFmtId="0" fontId="6" fillId="3" borderId="1" xfId="0" applyFont="1" applyFill="1" applyBorder="1" applyAlignment="1">
      <alignment wrapText="1"/>
    </xf>
    <xf numFmtId="0" fontId="6" fillId="0" borderId="0" xfId="0" applyFont="1" applyAlignment="1">
      <alignment wrapText="1"/>
    </xf>
    <xf numFmtId="0" fontId="6" fillId="0" borderId="1" xfId="0" applyFont="1" applyBorder="1" applyAlignment="1">
      <alignment wrapText="1"/>
    </xf>
    <xf numFmtId="0" fontId="6" fillId="3" borderId="1" xfId="0" applyFont="1" applyFill="1" applyBorder="1"/>
    <xf numFmtId="49" fontId="4" fillId="2" borderId="0" xfId="0" applyNumberFormat="1" applyFont="1" applyFill="1" applyBorder="1" applyAlignment="1">
      <alignment wrapText="1"/>
    </xf>
    <xf numFmtId="49" fontId="6" fillId="0" borderId="0" xfId="0" applyNumberFormat="1" applyFont="1" applyAlignment="1">
      <alignment wrapText="1"/>
    </xf>
    <xf numFmtId="49" fontId="5" fillId="3" borderId="1" xfId="0" applyNumberFormat="1" applyFont="1" applyFill="1" applyBorder="1" applyAlignment="1">
      <alignment wrapText="1"/>
    </xf>
    <xf numFmtId="49" fontId="6" fillId="3" borderId="1" xfId="0" applyNumberFormat="1" applyFont="1" applyFill="1" applyBorder="1" applyAlignment="1">
      <alignment wrapText="1"/>
    </xf>
    <xf numFmtId="49" fontId="6" fillId="0" borderId="1" xfId="0" applyNumberFormat="1" applyFont="1" applyBorder="1" applyAlignment="1">
      <alignment wrapText="1"/>
    </xf>
    <xf numFmtId="0" fontId="5" fillId="0" borderId="1" xfId="0" applyFont="1" applyBorder="1" applyAlignment="1">
      <alignment wrapText="1"/>
    </xf>
    <xf numFmtId="49" fontId="5" fillId="0" borderId="1" xfId="0" applyNumberFormat="1" applyFont="1" applyBorder="1" applyAlignment="1">
      <alignment wrapText="1"/>
    </xf>
  </cellXfs>
  <cellStyles count="1">
    <cellStyle name="Normal" xfId="0" builtinId="0"/>
  </cellStyles>
  <dxfs count="32">
    <dxf>
      <font>
        <b/>
        <i val="0"/>
        <strike val="0"/>
        <condense val="0"/>
        <extend val="0"/>
        <outline val="0"/>
        <shadow val="0"/>
        <u val="none"/>
        <vertAlign val="baseline"/>
        <sz val="8"/>
        <color theme="0"/>
        <name val="Aptos Narrow"/>
        <family val="2"/>
        <scheme val="minor"/>
      </font>
      <numFmt numFmtId="30" formatCode="@"/>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numFmt numFmtId="30" formatCode="@"/>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alignment horizontal="general" vertical="bottom"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8"/>
        <color theme="0"/>
        <name val="Aptos Narrow"/>
        <family val="2"/>
        <scheme val="minor"/>
      </font>
      <numFmt numFmtId="30" formatCode="@"/>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8"/>
        <color theme="0"/>
        <name val="Aptos Narrow"/>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8"/>
        <color theme="1"/>
        <name val="Aptos Narrow"/>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[HR_Dashboard.xlsm]Dashboard!PivotTable1</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Dashboard!$B$9</c:f>
              <c:strCache>
                <c:ptCount val="1"/>
                <c:pt idx="0">
                  <c:v>Sum of Headcount</c:v>
                </c:pt>
              </c:strCache>
            </c:strRef>
          </c:tx>
          <c:spPr>
            <a:solidFill>
              <a:schemeClr val="accent1"/>
            </a:solidFill>
            <a:ln>
              <a:noFill/>
            </a:ln>
            <a:effectLst/>
          </c:spPr>
          <c:invertIfNegative val="0"/>
          <c:cat>
            <c:strRef>
              <c:f>Dashboard!$A$10:$A$13</c:f>
              <c:strCache>
                <c:ptCount val="3"/>
                <c:pt idx="0">
                  <c:v>Human Resources</c:v>
                </c:pt>
                <c:pt idx="1">
                  <c:v>Research &amp; Development</c:v>
                </c:pt>
                <c:pt idx="2">
                  <c:v>Sales</c:v>
                </c:pt>
              </c:strCache>
            </c:strRef>
          </c:cat>
          <c:val>
            <c:numRef>
              <c:f>Dashboard!$B$10:$B$13</c:f>
              <c:numCache>
                <c:formatCode>General</c:formatCode>
                <c:ptCount val="3"/>
                <c:pt idx="0">
                  <c:v>63</c:v>
                </c:pt>
                <c:pt idx="1">
                  <c:v>961</c:v>
                </c:pt>
                <c:pt idx="2">
                  <c:v>446</c:v>
                </c:pt>
              </c:numCache>
            </c:numRef>
          </c:val>
          <c:extLst>
            <c:ext xmlns:c16="http://schemas.microsoft.com/office/drawing/2014/chart" uri="{C3380CC4-5D6E-409C-BE32-E72D297353CC}">
              <c16:uniqueId val="{00000000-C0BC-454E-B27B-0F03A695A88D}"/>
            </c:ext>
          </c:extLst>
        </c:ser>
        <c:ser>
          <c:idx val="1"/>
          <c:order val="1"/>
          <c:tx>
            <c:strRef>
              <c:f>Dashboard!$C$9</c:f>
              <c:strCache>
                <c:ptCount val="1"/>
                <c:pt idx="0">
                  <c:v>Sum of AvgTenureYears</c:v>
                </c:pt>
              </c:strCache>
            </c:strRef>
          </c:tx>
          <c:spPr>
            <a:solidFill>
              <a:schemeClr val="accent2"/>
            </a:solidFill>
            <a:ln>
              <a:noFill/>
            </a:ln>
            <a:effectLst/>
          </c:spPr>
          <c:invertIfNegative val="0"/>
          <c:cat>
            <c:strRef>
              <c:f>Dashboard!$A$10:$A$13</c:f>
              <c:strCache>
                <c:ptCount val="3"/>
                <c:pt idx="0">
                  <c:v>Human Resources</c:v>
                </c:pt>
                <c:pt idx="1">
                  <c:v>Research &amp; Development</c:v>
                </c:pt>
                <c:pt idx="2">
                  <c:v>Sales</c:v>
                </c:pt>
              </c:strCache>
            </c:strRef>
          </c:cat>
          <c:val>
            <c:numRef>
              <c:f>Dashboard!$C$10:$C$13</c:f>
              <c:numCache>
                <c:formatCode>General</c:formatCode>
                <c:ptCount val="3"/>
                <c:pt idx="0">
                  <c:v>7.24</c:v>
                </c:pt>
                <c:pt idx="1">
                  <c:v>6.86</c:v>
                </c:pt>
                <c:pt idx="2">
                  <c:v>7.28</c:v>
                </c:pt>
              </c:numCache>
            </c:numRef>
          </c:val>
          <c:extLst>
            <c:ext xmlns:c16="http://schemas.microsoft.com/office/drawing/2014/chart" uri="{C3380CC4-5D6E-409C-BE32-E72D297353CC}">
              <c16:uniqueId val="{00000001-C0BC-454E-B27B-0F03A695A88D}"/>
            </c:ext>
          </c:extLst>
        </c:ser>
        <c:ser>
          <c:idx val="2"/>
          <c:order val="2"/>
          <c:tx>
            <c:strRef>
              <c:f>Dashboard!$D$9</c:f>
              <c:strCache>
                <c:ptCount val="1"/>
                <c:pt idx="0">
                  <c:v>Sum of AttritionRatePct</c:v>
                </c:pt>
              </c:strCache>
            </c:strRef>
          </c:tx>
          <c:spPr>
            <a:solidFill>
              <a:schemeClr val="accent3"/>
            </a:solidFill>
            <a:ln>
              <a:noFill/>
            </a:ln>
            <a:effectLst/>
          </c:spPr>
          <c:invertIfNegative val="0"/>
          <c:cat>
            <c:strRef>
              <c:f>Dashboard!$A$10:$A$13</c:f>
              <c:strCache>
                <c:ptCount val="3"/>
                <c:pt idx="0">
                  <c:v>Human Resources</c:v>
                </c:pt>
                <c:pt idx="1">
                  <c:v>Research &amp; Development</c:v>
                </c:pt>
                <c:pt idx="2">
                  <c:v>Sales</c:v>
                </c:pt>
              </c:strCache>
            </c:strRef>
          </c:cat>
          <c:val>
            <c:numRef>
              <c:f>Dashboard!$D$10:$D$13</c:f>
              <c:numCache>
                <c:formatCode>General</c:formatCode>
                <c:ptCount val="3"/>
                <c:pt idx="0">
                  <c:v>19.05</c:v>
                </c:pt>
                <c:pt idx="1">
                  <c:v>13.84</c:v>
                </c:pt>
                <c:pt idx="2">
                  <c:v>20.63</c:v>
                </c:pt>
              </c:numCache>
            </c:numRef>
          </c:val>
          <c:extLst>
            <c:ext xmlns:c16="http://schemas.microsoft.com/office/drawing/2014/chart" uri="{C3380CC4-5D6E-409C-BE32-E72D297353CC}">
              <c16:uniqueId val="{00000001-D2E4-48E8-A251-840C9358AD42}"/>
            </c:ext>
          </c:extLst>
        </c:ser>
        <c:dLbls>
          <c:showLegendKey val="0"/>
          <c:showVal val="0"/>
          <c:showCatName val="0"/>
          <c:showSerName val="0"/>
          <c:showPercent val="0"/>
          <c:showBubbleSize val="0"/>
        </c:dLbls>
        <c:gapWidth val="219"/>
        <c:overlap val="-27"/>
        <c:axId val="1107049839"/>
        <c:axId val="1120200975"/>
      </c:barChart>
      <c:catAx>
        <c:axId val="110704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200975"/>
        <c:crosses val="autoZero"/>
        <c:auto val="1"/>
        <c:lblAlgn val="ctr"/>
        <c:lblOffset val="100"/>
        <c:noMultiLvlLbl val="0"/>
      </c:catAx>
      <c:valAx>
        <c:axId val="1120200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049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[HR_Dashboard.xlsm]Dashboard!PivotTable2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Dashboard!$B$16</c:f>
              <c:strCache>
                <c:ptCount val="1"/>
                <c:pt idx="0">
                  <c:v>Total</c:v>
                </c:pt>
              </c:strCache>
            </c:strRef>
          </c:tx>
          <c:spPr>
            <a:solidFill>
              <a:schemeClr val="accent1"/>
            </a:solidFill>
            <a:ln>
              <a:noFill/>
            </a:ln>
            <a:effectLst/>
          </c:spPr>
          <c:invertIfNegative val="0"/>
          <c:cat>
            <c:strRef>
              <c:f>Dashboard!$A$17:$A$20</c:f>
              <c:strCache>
                <c:ptCount val="3"/>
                <c:pt idx="0">
                  <c:v>Human Resources</c:v>
                </c:pt>
                <c:pt idx="1">
                  <c:v>Research &amp; Development</c:v>
                </c:pt>
                <c:pt idx="2">
                  <c:v>Sales</c:v>
                </c:pt>
              </c:strCache>
            </c:strRef>
          </c:cat>
          <c:val>
            <c:numRef>
              <c:f>Dashboard!$B$17:$B$20</c:f>
              <c:numCache>
                <c:formatCode>General</c:formatCode>
                <c:ptCount val="3"/>
                <c:pt idx="0">
                  <c:v>63</c:v>
                </c:pt>
                <c:pt idx="1">
                  <c:v>961</c:v>
                </c:pt>
                <c:pt idx="2">
                  <c:v>446</c:v>
                </c:pt>
              </c:numCache>
            </c:numRef>
          </c:val>
          <c:extLst>
            <c:ext xmlns:c16="http://schemas.microsoft.com/office/drawing/2014/chart" uri="{C3380CC4-5D6E-409C-BE32-E72D297353CC}">
              <c16:uniqueId val="{00000000-4F42-4992-8538-98D039AD36DC}"/>
            </c:ext>
          </c:extLst>
        </c:ser>
        <c:dLbls>
          <c:showLegendKey val="0"/>
          <c:showVal val="0"/>
          <c:showCatName val="0"/>
          <c:showSerName val="0"/>
          <c:showPercent val="0"/>
          <c:showBubbleSize val="0"/>
        </c:dLbls>
        <c:gapWidth val="219"/>
        <c:overlap val="-27"/>
        <c:axId val="911260032"/>
        <c:axId val="911261472"/>
      </c:barChart>
      <c:catAx>
        <c:axId val="91126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61472"/>
        <c:crosses val="autoZero"/>
        <c:auto val="1"/>
        <c:lblAlgn val="ctr"/>
        <c:lblOffset val="100"/>
        <c:noMultiLvlLbl val="0"/>
      </c:catAx>
      <c:valAx>
        <c:axId val="91126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60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[HR_Dashboard.xlsm]Dashboard!PivotTable4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Dashboard!$B$41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83-419C-BB53-7E6711EB6E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83-419C-BB53-7E6711EB6E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83-419C-BB53-7E6711EB6EAD}"/>
              </c:ext>
            </c:extLst>
          </c:dPt>
          <c:cat>
            <c:strRef>
              <c:f>Dashboard!$A$42:$A$45</c:f>
              <c:strCache>
                <c:ptCount val="3"/>
                <c:pt idx="0">
                  <c:v>Human Resources</c:v>
                </c:pt>
                <c:pt idx="1">
                  <c:v>Research &amp; Development</c:v>
                </c:pt>
                <c:pt idx="2">
                  <c:v>Sales</c:v>
                </c:pt>
              </c:strCache>
            </c:strRef>
          </c:cat>
          <c:val>
            <c:numRef>
              <c:f>Dashboard!$B$42:$B$45</c:f>
              <c:numCache>
                <c:formatCode>General</c:formatCode>
                <c:ptCount val="3"/>
                <c:pt idx="0">
                  <c:v>19.05</c:v>
                </c:pt>
                <c:pt idx="1">
                  <c:v>13.84</c:v>
                </c:pt>
                <c:pt idx="2">
                  <c:v>20.63</c:v>
                </c:pt>
              </c:numCache>
            </c:numRef>
          </c:val>
          <c:extLst>
            <c:ext xmlns:c16="http://schemas.microsoft.com/office/drawing/2014/chart" uri="{C3380CC4-5D6E-409C-BE32-E72D297353CC}">
              <c16:uniqueId val="{00000000-46F5-4C9A-9D74-F2977EDEA07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1341120</xdr:colOff>
      <xdr:row>2</xdr:row>
      <xdr:rowOff>22860</xdr:rowOff>
    </xdr:from>
    <xdr:to>
      <xdr:col>2</xdr:col>
      <xdr:colOff>1219200</xdr:colOff>
      <xdr:row>5</xdr:row>
      <xdr:rowOff>114300</xdr:rowOff>
    </xdr:to>
    <xdr:sp macro="[0]!RefreshAndExport" textlink="">
      <xdr:nvSpPr>
        <xdr:cNvPr id="2" name="Oval 1">
          <a:extLst>
            <a:ext uri="{FF2B5EF4-FFF2-40B4-BE49-F238E27FC236}">
              <a16:creationId xmlns:a16="http://schemas.microsoft.com/office/drawing/2014/main" id="{262E6FCC-4E60-03A5-EB8B-D2A15A1D49ED}"/>
            </a:ext>
          </a:extLst>
        </xdr:cNvPr>
        <xdr:cNvSpPr/>
      </xdr:nvSpPr>
      <xdr:spPr>
        <a:xfrm>
          <a:off x="1341120" y="388620"/>
          <a:ext cx="2461260" cy="64008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a:t>People Insights Dashboard</a:t>
          </a:r>
          <a:endParaRPr lang="en-AU" sz="1100"/>
        </a:p>
      </xdr:txBody>
    </xdr:sp>
    <xdr:clientData/>
  </xdr:twoCellAnchor>
  <xdr:twoCellAnchor>
    <xdr:from>
      <xdr:col>0</xdr:col>
      <xdr:colOff>144780</xdr:colOff>
      <xdr:row>65</xdr:row>
      <xdr:rowOff>57150</xdr:rowOff>
    </xdr:from>
    <xdr:to>
      <xdr:col>3</xdr:col>
      <xdr:colOff>556260</xdr:colOff>
      <xdr:row>75</xdr:row>
      <xdr:rowOff>91440</xdr:rowOff>
    </xdr:to>
    <xdr:graphicFrame macro="">
      <xdr:nvGraphicFramePr>
        <xdr:cNvPr id="5" name="Chart 4">
          <a:extLst>
            <a:ext uri="{FF2B5EF4-FFF2-40B4-BE49-F238E27FC236}">
              <a16:creationId xmlns:a16="http://schemas.microsoft.com/office/drawing/2014/main" id="{11B0DB4B-37A2-B599-FF39-7FADD1A247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xdr:colOff>
      <xdr:row>20</xdr:row>
      <xdr:rowOff>171450</xdr:rowOff>
    </xdr:from>
    <xdr:to>
      <xdr:col>2</xdr:col>
      <xdr:colOff>60960</xdr:colOff>
      <xdr:row>31</xdr:row>
      <xdr:rowOff>121920</xdr:rowOff>
    </xdr:to>
    <xdr:graphicFrame macro="">
      <xdr:nvGraphicFramePr>
        <xdr:cNvPr id="4" name="Chart 3">
          <a:extLst>
            <a:ext uri="{FF2B5EF4-FFF2-40B4-BE49-F238E27FC236}">
              <a16:creationId xmlns:a16="http://schemas.microsoft.com/office/drawing/2014/main" id="{A03F5DDD-80D6-AA3F-D773-83EDA4FD7D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175260</xdr:colOff>
      <xdr:row>48</xdr:row>
      <xdr:rowOff>102870</xdr:rowOff>
    </xdr:from>
    <xdr:to>
      <xdr:col>3</xdr:col>
      <xdr:colOff>777240</xdr:colOff>
      <xdr:row>63</xdr:row>
      <xdr:rowOff>102870</xdr:rowOff>
    </xdr:to>
    <xdr:graphicFrame macro="">
      <xdr:nvGraphicFramePr>
        <xdr:cNvPr id="7" name="Chart 6">
          <a:extLst>
            <a:ext uri="{FF2B5EF4-FFF2-40B4-BE49-F238E27FC236}">
              <a16:creationId xmlns:a16="http://schemas.microsoft.com/office/drawing/2014/main" id="{A4148215-B27E-DD08-F19C-0D21038B3C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sheeraja K S" refreshedDate="45985.950260185185" createdVersion="8" refreshedVersion="8" minRefreshableVersion="3" recordCount="3" xr:uid="{A600EA92-E85D-44BC-83E2-578C63A6F9A3}">
  <cacheSource type="worksheet">
    <worksheetSource name="tblKpiDepartment"/>
  </cacheSource>
  <cacheFields count="7">
    <cacheField name="Department" numFmtId="0">
      <sharedItems count="3">
        <s v="Human Resources"/>
        <s v="Sales"/>
        <s v="Research &amp; Development"/>
      </sharedItems>
    </cacheField>
    <cacheField name="Headcount" numFmtId="0">
      <sharedItems containsSemiMixedTypes="0" containsString="0" containsNumber="1" containsInteger="1" minValue="63" maxValue="961"/>
    </cacheField>
    <cacheField name="AvgTenureYears" numFmtId="0">
      <sharedItems containsSemiMixedTypes="0" containsString="0" containsNumber="1" minValue="6.86" maxValue="7.28"/>
    </cacheField>
    <cacheField name="AvgMonthlyIncome" numFmtId="0">
      <sharedItems containsSemiMixedTypes="0" containsString="0" containsNumber="1" minValue="6281.25" maxValue="6959.17"/>
    </cacheField>
    <cacheField name="AttritionRatePct" numFmtId="0">
      <sharedItems containsSemiMixedTypes="0" containsString="0" containsNumber="1" minValue="13.84" maxValue="20.63"/>
    </cacheField>
    <cacheField name="FemalePct" numFmtId="0">
      <sharedItems containsSemiMixedTypes="0" containsString="0" containsNumber="1" minValue="31.75" maxValue="42.38"/>
    </cacheField>
    <cacheField name="OvertimePct" numFmtId="0">
      <sharedItems containsSemiMixedTypes="0" containsString="0" containsNumber="1" minValue="26.98" maxValue="28.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63"/>
    <n v="7.24"/>
    <n v="6654.51"/>
    <n v="19.05"/>
    <n v="31.75"/>
    <n v="26.98"/>
  </r>
  <r>
    <x v="1"/>
    <n v="446"/>
    <n v="7.28"/>
    <n v="6959.17"/>
    <n v="20.63"/>
    <n v="42.38"/>
    <n v="28.7"/>
  </r>
  <r>
    <x v="2"/>
    <n v="961"/>
    <n v="6.86"/>
    <n v="6281.25"/>
    <n v="13.84"/>
    <n v="39.44"/>
    <n v="2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B43E40-D016-4FD5-B93B-B6F30CF39DEF}" name="PivotTable4"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1:B45" firstHeaderRow="1" firstDataRow="1" firstDataCol="1"/>
  <pivotFields count="7">
    <pivotField axis="axisRow" showAll="0">
      <items count="4">
        <item x="0"/>
        <item x="2"/>
        <item x="1"/>
        <item t="default"/>
      </items>
    </pivotField>
    <pivotField showAll="0"/>
    <pivotField showAll="0"/>
    <pivotField showAll="0"/>
    <pivotField dataField="1" showAll="0"/>
    <pivotField showAll="0"/>
    <pivotField showAll="0"/>
  </pivotFields>
  <rowFields count="1">
    <field x="0"/>
  </rowFields>
  <rowItems count="4">
    <i>
      <x/>
    </i>
    <i>
      <x v="1"/>
    </i>
    <i>
      <x v="2"/>
    </i>
    <i t="grand">
      <x/>
    </i>
  </rowItems>
  <colItems count="1">
    <i/>
  </colItems>
  <dataFields count="1">
    <dataField name="Sum of AttritionRatePct" fld="4" baseField="0" baseItem="0"/>
  </dataField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77D016-EABF-43A3-8597-67CB62BBA4FF}" name="PivotTable3"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4:B38" firstHeaderRow="1" firstDataRow="1" firstDataCol="1"/>
  <pivotFields count="7">
    <pivotField axis="axisRow" showAll="0">
      <items count="4">
        <item x="0"/>
        <item x="2"/>
        <item x="1"/>
        <item t="default"/>
      </items>
    </pivotField>
    <pivotField showAll="0"/>
    <pivotField dataField="1" showAll="0"/>
    <pivotField showAll="0"/>
    <pivotField showAll="0"/>
    <pivotField showAll="0"/>
    <pivotField showAll="0"/>
  </pivotFields>
  <rowFields count="1">
    <field x="0"/>
  </rowFields>
  <rowItems count="4">
    <i>
      <x/>
    </i>
    <i>
      <x v="1"/>
    </i>
    <i>
      <x v="2"/>
    </i>
    <i t="grand">
      <x/>
    </i>
  </rowItems>
  <colItems count="1">
    <i/>
  </colItems>
  <dataFields count="1">
    <dataField name="Sum of AvgTenureYear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298544-D857-4CC4-9022-7FFE991ACD82}" name="PivotTable2"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6:B20" firstHeaderRow="1" firstDataRow="1" firstDataCol="1"/>
  <pivotFields count="7">
    <pivotField axis="axisRow" showAll="0">
      <items count="4">
        <item x="0"/>
        <item x="2"/>
        <item x="1"/>
        <item t="default"/>
      </items>
    </pivotField>
    <pivotField dataField="1" showAll="0"/>
    <pivotField showAll="0"/>
    <pivotField showAll="0"/>
    <pivotField showAll="0"/>
    <pivotField showAll="0"/>
    <pivotField showAll="0"/>
  </pivotFields>
  <rowFields count="1">
    <field x="0"/>
  </rowFields>
  <rowItems count="4">
    <i>
      <x/>
    </i>
    <i>
      <x v="1"/>
    </i>
    <i>
      <x v="2"/>
    </i>
    <i t="grand">
      <x/>
    </i>
  </rowItems>
  <colItems count="1">
    <i/>
  </colItems>
  <dataFields count="1">
    <dataField name="Sum of Headcount" fld="1"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FD2CBE-8C1A-40F8-9524-146D53C96591}"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9:D13" firstHeaderRow="0" firstDataRow="1" firstDataCol="1"/>
  <pivotFields count="7">
    <pivotField axis="axisRow" showAll="0">
      <items count="4">
        <item x="0"/>
        <item x="2"/>
        <item x="1"/>
        <item t="default"/>
      </items>
    </pivotField>
    <pivotField dataField="1" showAll="0"/>
    <pivotField dataField="1" showAll="0"/>
    <pivotField showAll="0"/>
    <pivotField dataField="1" showAll="0"/>
    <pivotField showAll="0"/>
    <pivotField showAll="0"/>
  </pivotFields>
  <rowFields count="1">
    <field x="0"/>
  </rowFields>
  <rowItems count="4">
    <i>
      <x/>
    </i>
    <i>
      <x v="1"/>
    </i>
    <i>
      <x v="2"/>
    </i>
    <i t="grand">
      <x/>
    </i>
  </rowItems>
  <colFields count="1">
    <field x="-2"/>
  </colFields>
  <colItems count="3">
    <i>
      <x/>
    </i>
    <i i="1">
      <x v="1"/>
    </i>
    <i i="2">
      <x v="2"/>
    </i>
  </colItems>
  <dataFields count="3">
    <dataField name="Sum of Headcount" fld="1" baseField="0" baseItem="0"/>
    <dataField name="Sum of AvgTenureYears" fld="2" baseField="0" baseItem="0"/>
    <dataField name="Sum of AttritionRatePct" fld="4" baseField="0" baseItem="0"/>
  </dataFields>
  <chartFormats count="5">
    <chartFormat chart="2"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1"/>
          </reference>
        </references>
      </pivotArea>
    </chartFormat>
    <chartFormat chart="7"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1"/>
          </reference>
        </references>
      </pivotArea>
    </chartFormat>
    <chartFormat chart="7"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C9E8214-9D2C-4F6D-9BDF-BAE49D537AE8}" name="tblKpiOverview" displayName="tblKpiOverview" ref="A1:E2" totalsRowShown="0" headerRowDxfId="24" dataDxfId="25" tableBorderDxfId="31">
  <autoFilter ref="A1:E2" xr:uid="{7C9E8214-9D2C-4F6D-9BDF-BAE49D537AE8}"/>
  <tableColumns count="5">
    <tableColumn id="1" xr3:uid="{8CACC751-E339-461F-B53A-2E5A62890287}" name="TotalHeadcount" dataDxfId="30"/>
    <tableColumn id="2" xr3:uid="{7B7E03F9-0DA6-4BD4-8E9D-0DFA54865B65}" name="AttritionCount" dataDxfId="29"/>
    <tableColumn id="3" xr3:uid="{A2F71968-4020-4AF9-ADC7-3BD989D5E007}" name="AttritionRatePct" dataDxfId="28"/>
    <tableColumn id="4" xr3:uid="{926714F6-7345-4916-8330-3C1066466590}" name="AvgTenureYears" dataDxfId="27"/>
    <tableColumn id="5" xr3:uid="{FADE71DE-01F9-4961-A903-5E1990D7F882}" name="AvgMonthlyIncome"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C2322F22-8B24-47AA-8F98-79710EC49510}" name="tblKpiDepartment" displayName="tblKpiDepartment" ref="A1:G4" totalsRowShown="0">
  <autoFilter ref="A1:G4" xr:uid="{C2322F22-8B24-47AA-8F98-79710EC49510}"/>
  <tableColumns count="7">
    <tableColumn id="1" xr3:uid="{02F05352-401B-4CA8-8D70-0F6DB7F5F594}" name="Department"/>
    <tableColumn id="2" xr3:uid="{B193F381-73E6-410C-9C6E-339FB0AEA02D}" name="Headcount"/>
    <tableColumn id="3" xr3:uid="{C55BEFE3-FCFA-4F68-A060-BD311CED066F}" name="AvgTenureYears"/>
    <tableColumn id="4" xr3:uid="{923F945E-B3D6-4303-9563-9FA4DEC44D57}" name="AvgMonthlyIncome"/>
    <tableColumn id="5" xr3:uid="{ED15FD34-9B14-4C96-AE11-C986D366FA87}" name="AttritionRatePct"/>
    <tableColumn id="6" xr3:uid="{5F4B77C5-02BD-44EA-90D0-49868AD38A22}" name="FemalePct"/>
    <tableColumn id="7" xr3:uid="{D7DDA6E1-0F8A-4298-AF8D-31C3853B7F2C}" name="OvertimePc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2A97F982-8847-465C-B664-147BDF91D5B5}" name="tblAttritionTenure" displayName="tblAttritionTenure" ref="A1:E5" totalsRowShown="0">
  <autoFilter ref="A1:E5" xr:uid="{2A97F982-8847-465C-B664-147BDF91D5B5}"/>
  <tableColumns count="5">
    <tableColumn id="1" xr3:uid="{56B8D2B7-6C38-4C0A-8DF2-5D8F23595906}" name="TenureGroup"/>
    <tableColumn id="2" xr3:uid="{D5CB8B14-A0C9-45E3-82AE-7D8403CFB6CA}" name="LeftCount"/>
    <tableColumn id="3" xr3:uid="{02C19ECC-C179-4913-AFD1-E91956E52433}" name="TotalCount"/>
    <tableColumn id="4" xr3:uid="{595E78F3-89E2-429D-AEDE-1A2D3F9CB897}" name="AttritionRatePct"/>
    <tableColumn id="5" xr3:uid="{13D802C0-4694-4F94-8F4B-9F702907C05C}" name="TenureS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887A422-7276-4010-88BC-9FEE57233AD6}" name="tblOvertimeAttrition" displayName="tblOvertimeAttrition" ref="A1:D3" totalsRowShown="0">
  <autoFilter ref="A1:D3" xr:uid="{E887A422-7276-4010-88BC-9FEE57233AD6}"/>
  <tableColumns count="4">
    <tableColumn id="1" xr3:uid="{CDD2F55D-6D50-4856-B302-F9A628D64C2A}" name="OverTime"/>
    <tableColumn id="2" xr3:uid="{462CBD77-5B41-48F9-935B-FB5EE63E5917}" name="LeftCount"/>
    <tableColumn id="3" xr3:uid="{77D35FCF-6080-4581-BBB3-5C672ECC0C51}" name="TotalCount"/>
    <tableColumn id="4" xr3:uid="{CCC5E240-BF6D-4AFF-BBE3-2719DBA210A0}" name="AttritionRatePc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5352CB3-8F16-4587-BEA0-586BCA2E4BF2}" name="tbl_Data_Issues_Log" displayName="tbl_Data_Issues_Log" ref="A1:G8" totalsRowShown="0" headerRowDxfId="15" dataDxfId="16" tableBorderDxfId="23">
  <autoFilter ref="A1:G8" xr:uid="{35352CB3-8F16-4587-BEA0-586BCA2E4BF2}"/>
  <tableColumns count="7">
    <tableColumn id="1" xr3:uid="{BA76CFDB-CDE4-4DB1-9351-727722D93488}" name="Issue_ID" dataDxfId="22"/>
    <tableColumn id="2" xr3:uid="{C74B3E8B-BC76-471F-BD9C-2942F341A05A}" name="Category" dataDxfId="21"/>
    <tableColumn id="3" xr3:uid="{9F912451-D973-4418-B3E0-96837F4D1D6C}" name="Description" dataDxfId="20"/>
    <tableColumn id="4" xr3:uid="{6705675E-31AC-4E18-921F-3AA4329BEA51}" name="Impact_on_Reporting" dataDxfId="19"/>
    <tableColumn id="5" xr3:uid="{B512E464-C8F2-4D05-8BDA-2FF0E3DACC2C}" name="How_Detected" dataDxfId="18"/>
    <tableColumn id="6" xr3:uid="{2BDB09FB-42FB-4BB6-9D09-5868A72233D1}" name="Resolution_or_Mitigation" dataDxfId="17"/>
    <tableColumn id="7" xr3:uid="{37FAC906-F381-46E4-B6B9-1FCB2C04CBB7}"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39B16775-7581-4896-9459-494B30FEE90A}" name="tbl_Data_Dictionary" displayName="tbl_Data_Dictionary" ref="A1:F34" totalsRowShown="0" headerRowDxfId="7" dataDxfId="8" tableBorderDxfId="14">
  <autoFilter ref="A1:F34" xr:uid="{39B16775-7581-4896-9459-494B30FEE90A}"/>
  <tableColumns count="6">
    <tableColumn id="1" xr3:uid="{3625ADDF-7433-4124-A573-DC1DF6CB62C0}" name="Field Name"/>
    <tableColumn id="2" xr3:uid="{939721B1-68F8-41FE-926F-E1DA7C43952E}" name="Description" dataDxfId="13"/>
    <tableColumn id="3" xr3:uid="{EAB7B71E-F46F-43C6-8664-933BD023D102}" name="Data Type" dataDxfId="12"/>
    <tableColumn id="4" xr3:uid="{627F1F25-4BE8-4769-8AB7-FBCE190AF9D3}" name="Validation/Allowed Values / Format" dataDxfId="11"/>
    <tableColumn id="5" xr3:uid="{72059E82-1B36-40DC-8B7A-1DD7C6421FF1}" name="Validation Rules" dataDxfId="10"/>
    <tableColumn id="6" xr3:uid="{E98CF4DD-6FA6-4E49-9A42-B0EB1DF6CCC2}" name="Notes" dataDxfId="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018676-F1B7-4E83-8ECD-99C09D278EF7}" name="tbl_KPI_Definitions" displayName="tbl_KPI_Definitions" ref="A1:D27" totalsRowShown="0" headerRowDxfId="0" dataDxfId="1" tableBorderDxfId="6">
  <autoFilter ref="A1:D27" xr:uid="{9A018676-F1B7-4E83-8ECD-99C09D278EF7}"/>
  <tableColumns count="4">
    <tableColumn id="1" xr3:uid="{1DE51146-95FE-430F-B009-01CB7C7C7954}" name="KPI Name" dataDxfId="5"/>
    <tableColumn id="2" xr3:uid="{7DA41DFC-BB8E-4877-B0C0-8DDF1EEDAEDD}" name="Definition" dataDxfId="4"/>
    <tableColumn id="3" xr3:uid="{0AF4F9FA-72B7-4181-A28B-FD97CFF79686}" name="Formula" dataDxfId="3"/>
    <tableColumn id="4" xr3:uid="{D09008D3-28C0-439C-B113-9367DEDEEF85}" name="Notes / HR Standard"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F5AB-F2B3-4B58-A93B-BBC240BAE877}">
  <sheetPr codeName="Sheet1"/>
  <dimension ref="A1:B6"/>
  <sheetViews>
    <sheetView workbookViewId="0">
      <selection activeCell="D15" sqref="D15"/>
    </sheetView>
  </sheetViews>
  <sheetFormatPr defaultColWidth="17" defaultRowHeight="14.4" x14ac:dyDescent="0.3"/>
  <sheetData>
    <row r="1" spans="1:2" ht="43.2" x14ac:dyDescent="0.3">
      <c r="A1" s="1" t="s">
        <v>0</v>
      </c>
      <c r="B1" s="1" t="s">
        <v>1</v>
      </c>
    </row>
    <row r="2" spans="1:2" x14ac:dyDescent="0.3">
      <c r="A2" s="2" t="s">
        <v>2</v>
      </c>
      <c r="B2" s="2" t="s">
        <v>26</v>
      </c>
    </row>
    <row r="3" spans="1:2" ht="28.8" x14ac:dyDescent="0.3">
      <c r="A3" s="2" t="s">
        <v>3</v>
      </c>
      <c r="B3" s="2" t="s">
        <v>4</v>
      </c>
    </row>
    <row r="4" spans="1:2" ht="57.6" x14ac:dyDescent="0.3">
      <c r="A4" s="2" t="s">
        <v>5</v>
      </c>
      <c r="B4" s="2" t="s">
        <v>6</v>
      </c>
    </row>
    <row r="5" spans="1:2" ht="28.8" x14ac:dyDescent="0.3">
      <c r="A5" s="2" t="s">
        <v>7</v>
      </c>
      <c r="B5" s="2" t="s">
        <v>27</v>
      </c>
    </row>
    <row r="6" spans="1:2" ht="43.2" x14ac:dyDescent="0.3">
      <c r="A6" s="2" t="s">
        <v>8</v>
      </c>
      <c r="B6" s="2" t="s">
        <v>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D55F-04BA-4F3F-87FA-7D8483D6ED5E}">
  <sheetPr codeName="Sheet2"/>
  <dimension ref="A1:E2"/>
  <sheetViews>
    <sheetView workbookViewId="0">
      <selection activeCell="C28" sqref="C28"/>
    </sheetView>
  </sheetViews>
  <sheetFormatPr defaultRowHeight="14.4" x14ac:dyDescent="0.3"/>
  <cols>
    <col min="1" max="1" width="16.109375" customWidth="1"/>
    <col min="2" max="2" width="14.6640625" customWidth="1"/>
    <col min="3" max="3" width="16.33203125" customWidth="1"/>
    <col min="4" max="4" width="15.88671875" customWidth="1"/>
    <col min="5" max="5" width="18.5546875" customWidth="1"/>
  </cols>
  <sheetData>
    <row r="1" spans="1:5" x14ac:dyDescent="0.3">
      <c r="A1" s="5" t="s">
        <v>10</v>
      </c>
      <c r="B1" s="5" t="s">
        <v>11</v>
      </c>
      <c r="C1" s="5" t="s">
        <v>12</v>
      </c>
      <c r="D1" s="5" t="s">
        <v>13</v>
      </c>
      <c r="E1" s="5" t="s">
        <v>14</v>
      </c>
    </row>
    <row r="2" spans="1:5" x14ac:dyDescent="0.3">
      <c r="A2" s="6">
        <v>1470</v>
      </c>
      <c r="B2" s="6">
        <v>237</v>
      </c>
      <c r="C2" s="6">
        <v>16.12</v>
      </c>
      <c r="D2" s="6">
        <v>7.0081629999999997</v>
      </c>
      <c r="E2" s="6">
        <v>6502.9312920000002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9B8BB-44B5-4BA9-BCCA-75E677F7CA43}">
  <sheetPr codeName="Sheet3"/>
  <dimension ref="A9:D45"/>
  <sheetViews>
    <sheetView tabSelected="1" workbookViewId="0">
      <selection activeCell="O69" sqref="O69"/>
    </sheetView>
  </sheetViews>
  <sheetFormatPr defaultRowHeight="14.4" x14ac:dyDescent="0.3"/>
  <cols>
    <col min="1" max="1" width="21.44140625" bestFit="1" customWidth="1"/>
    <col min="2" max="2" width="16.21875" bestFit="1" customWidth="1"/>
    <col min="3" max="3" width="20.21875" bestFit="1" customWidth="1"/>
    <col min="4" max="4" width="20.6640625" bestFit="1" customWidth="1"/>
  </cols>
  <sheetData>
    <row r="9" spans="1:4" x14ac:dyDescent="0.3">
      <c r="A9" s="3" t="s">
        <v>35</v>
      </c>
      <c r="B9" t="s">
        <v>37</v>
      </c>
      <c r="C9" t="s">
        <v>39</v>
      </c>
      <c r="D9" t="s">
        <v>38</v>
      </c>
    </row>
    <row r="10" spans="1:4" x14ac:dyDescent="0.3">
      <c r="A10" s="4" t="s">
        <v>32</v>
      </c>
      <c r="B10" s="7">
        <v>63</v>
      </c>
      <c r="C10" s="7">
        <v>7.24</v>
      </c>
      <c r="D10" s="7">
        <v>19.05</v>
      </c>
    </row>
    <row r="11" spans="1:4" x14ac:dyDescent="0.3">
      <c r="A11" s="4" t="s">
        <v>34</v>
      </c>
      <c r="B11" s="7">
        <v>961</v>
      </c>
      <c r="C11" s="7">
        <v>6.86</v>
      </c>
      <c r="D11" s="7">
        <v>13.84</v>
      </c>
    </row>
    <row r="12" spans="1:4" x14ac:dyDescent="0.3">
      <c r="A12" s="4" t="s">
        <v>33</v>
      </c>
      <c r="B12" s="7">
        <v>446</v>
      </c>
      <c r="C12" s="7">
        <v>7.28</v>
      </c>
      <c r="D12" s="7">
        <v>20.63</v>
      </c>
    </row>
    <row r="13" spans="1:4" x14ac:dyDescent="0.3">
      <c r="A13" s="4" t="s">
        <v>36</v>
      </c>
      <c r="B13" s="7">
        <v>1470</v>
      </c>
      <c r="C13" s="7">
        <v>21.380000000000003</v>
      </c>
      <c r="D13" s="7">
        <v>53.519999999999996</v>
      </c>
    </row>
    <row r="16" spans="1:4" x14ac:dyDescent="0.3">
      <c r="A16" s="3" t="s">
        <v>35</v>
      </c>
      <c r="B16" t="s">
        <v>37</v>
      </c>
    </row>
    <row r="17" spans="1:2" x14ac:dyDescent="0.3">
      <c r="A17" s="4" t="s">
        <v>32</v>
      </c>
      <c r="B17" s="7">
        <v>63</v>
      </c>
    </row>
    <row r="18" spans="1:2" x14ac:dyDescent="0.3">
      <c r="A18" s="4" t="s">
        <v>34</v>
      </c>
      <c r="B18" s="7">
        <v>961</v>
      </c>
    </row>
    <row r="19" spans="1:2" x14ac:dyDescent="0.3">
      <c r="A19" s="4" t="s">
        <v>33</v>
      </c>
      <c r="B19" s="7">
        <v>446</v>
      </c>
    </row>
    <row r="20" spans="1:2" x14ac:dyDescent="0.3">
      <c r="A20" s="4" t="s">
        <v>36</v>
      </c>
      <c r="B20" s="7">
        <v>1470</v>
      </c>
    </row>
    <row r="21" spans="1:2" x14ac:dyDescent="0.3">
      <c r="A21" s="4"/>
    </row>
    <row r="22" spans="1:2" x14ac:dyDescent="0.3">
      <c r="A22" s="4"/>
    </row>
    <row r="34" spans="1:2" x14ac:dyDescent="0.3">
      <c r="A34" s="3" t="s">
        <v>35</v>
      </c>
      <c r="B34" t="s">
        <v>39</v>
      </c>
    </row>
    <row r="35" spans="1:2" x14ac:dyDescent="0.3">
      <c r="A35" s="4" t="s">
        <v>32</v>
      </c>
      <c r="B35" s="7">
        <v>7.24</v>
      </c>
    </row>
    <row r="36" spans="1:2" x14ac:dyDescent="0.3">
      <c r="A36" s="4" t="s">
        <v>34</v>
      </c>
      <c r="B36" s="7">
        <v>6.86</v>
      </c>
    </row>
    <row r="37" spans="1:2" x14ac:dyDescent="0.3">
      <c r="A37" s="4" t="s">
        <v>33</v>
      </c>
      <c r="B37" s="7">
        <v>7.28</v>
      </c>
    </row>
    <row r="38" spans="1:2" x14ac:dyDescent="0.3">
      <c r="A38" s="4" t="s">
        <v>36</v>
      </c>
      <c r="B38" s="7">
        <v>21.380000000000003</v>
      </c>
    </row>
    <row r="39" spans="1:2" x14ac:dyDescent="0.3">
      <c r="A39" s="4"/>
    </row>
    <row r="41" spans="1:2" x14ac:dyDescent="0.3">
      <c r="A41" s="3" t="s">
        <v>35</v>
      </c>
      <c r="B41" t="s">
        <v>38</v>
      </c>
    </row>
    <row r="42" spans="1:2" x14ac:dyDescent="0.3">
      <c r="A42" s="4" t="s">
        <v>32</v>
      </c>
      <c r="B42" s="7">
        <v>19.05</v>
      </c>
    </row>
    <row r="43" spans="1:2" x14ac:dyDescent="0.3">
      <c r="A43" s="4" t="s">
        <v>34</v>
      </c>
      <c r="B43" s="7">
        <v>13.84</v>
      </c>
    </row>
    <row r="44" spans="1:2" x14ac:dyDescent="0.3">
      <c r="A44" s="4" t="s">
        <v>33</v>
      </c>
      <c r="B44" s="7">
        <v>20.63</v>
      </c>
    </row>
    <row r="45" spans="1:2" x14ac:dyDescent="0.3">
      <c r="A45" s="4" t="s">
        <v>36</v>
      </c>
      <c r="B45" s="7">
        <v>53.519999999999996</v>
      </c>
    </row>
  </sheetData>
  <pageMargins left="0.7" right="0.7" top="0.75" bottom="0.75" header="0.3" footer="0.3"/>
  <pageSetup paperSize="9" orientation="portrait" r:id="rId5"/>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83F73-8328-44B8-A048-EC51B4A5A857}">
  <sheetPr codeName="Sheet4"/>
  <dimension ref="A1:G4"/>
  <sheetViews>
    <sheetView workbookViewId="0"/>
  </sheetViews>
  <sheetFormatPr defaultRowHeight="14.4" x14ac:dyDescent="0.3"/>
  <cols>
    <col min="1" max="1" width="12.88671875" customWidth="1"/>
    <col min="2" max="2" width="12" customWidth="1"/>
    <col min="3" max="3" width="15.88671875" customWidth="1"/>
    <col min="4" max="4" width="18.5546875" customWidth="1"/>
    <col min="5" max="5" width="16.33203125" customWidth="1"/>
    <col min="6" max="6" width="11.88671875" customWidth="1"/>
    <col min="7" max="7" width="13.44140625" customWidth="1"/>
  </cols>
  <sheetData>
    <row r="1" spans="1:7" x14ac:dyDescent="0.3">
      <c r="A1" t="s">
        <v>28</v>
      </c>
      <c r="B1" t="s">
        <v>29</v>
      </c>
      <c r="C1" t="s">
        <v>13</v>
      </c>
      <c r="D1" t="s">
        <v>14</v>
      </c>
      <c r="E1" t="s">
        <v>12</v>
      </c>
      <c r="F1" t="s">
        <v>30</v>
      </c>
      <c r="G1" t="s">
        <v>31</v>
      </c>
    </row>
    <row r="2" spans="1:7" x14ac:dyDescent="0.3">
      <c r="A2" t="s">
        <v>32</v>
      </c>
      <c r="B2">
        <v>63</v>
      </c>
      <c r="C2">
        <v>7.24</v>
      </c>
      <c r="D2">
        <v>6654.51</v>
      </c>
      <c r="E2">
        <v>19.05</v>
      </c>
      <c r="F2">
        <v>31.75</v>
      </c>
      <c r="G2">
        <v>26.98</v>
      </c>
    </row>
    <row r="3" spans="1:7" x14ac:dyDescent="0.3">
      <c r="A3" t="s">
        <v>33</v>
      </c>
      <c r="B3">
        <v>446</v>
      </c>
      <c r="C3">
        <v>7.28</v>
      </c>
      <c r="D3">
        <v>6959.17</v>
      </c>
      <c r="E3">
        <v>20.63</v>
      </c>
      <c r="F3">
        <v>42.38</v>
      </c>
      <c r="G3">
        <v>28.7</v>
      </c>
    </row>
    <row r="4" spans="1:7" x14ac:dyDescent="0.3">
      <c r="A4" t="s">
        <v>34</v>
      </c>
      <c r="B4">
        <v>961</v>
      </c>
      <c r="C4">
        <v>6.86</v>
      </c>
      <c r="D4">
        <v>6281.25</v>
      </c>
      <c r="E4">
        <v>13.84</v>
      </c>
      <c r="F4">
        <v>39.44</v>
      </c>
      <c r="G4">
        <v>28.2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7221A-038A-4F9D-9A6E-D05F9C1903C2}">
  <sheetPr codeName="Sheet5"/>
  <dimension ref="A1:E5"/>
  <sheetViews>
    <sheetView workbookViewId="0"/>
  </sheetViews>
  <sheetFormatPr defaultRowHeight="14.4" x14ac:dyDescent="0.3"/>
  <cols>
    <col min="1" max="1" width="13.5546875" customWidth="1"/>
    <col min="2" max="2" width="10.88671875" customWidth="1"/>
    <col min="3" max="3" width="11.88671875" customWidth="1"/>
    <col min="4" max="4" width="16.33203125" customWidth="1"/>
    <col min="5" max="5" width="11.88671875" customWidth="1"/>
  </cols>
  <sheetData>
    <row r="1" spans="1:5" x14ac:dyDescent="0.3">
      <c r="A1" t="s">
        <v>19</v>
      </c>
      <c r="B1" t="s">
        <v>20</v>
      </c>
      <c r="C1" t="s">
        <v>21</v>
      </c>
      <c r="D1" t="s">
        <v>12</v>
      </c>
      <c r="E1" t="s">
        <v>22</v>
      </c>
    </row>
    <row r="2" spans="1:5" x14ac:dyDescent="0.3">
      <c r="A2" t="s">
        <v>15</v>
      </c>
      <c r="B2">
        <v>106</v>
      </c>
      <c r="C2">
        <v>426</v>
      </c>
      <c r="D2">
        <v>24.88</v>
      </c>
      <c r="E2">
        <v>2</v>
      </c>
    </row>
    <row r="3" spans="1:5" x14ac:dyDescent="0.3">
      <c r="A3" t="s">
        <v>16</v>
      </c>
      <c r="B3">
        <v>16</v>
      </c>
      <c r="C3">
        <v>44</v>
      </c>
      <c r="D3">
        <v>36.36</v>
      </c>
      <c r="E3">
        <v>1</v>
      </c>
    </row>
    <row r="4" spans="1:5" x14ac:dyDescent="0.3">
      <c r="A4" t="s">
        <v>17</v>
      </c>
      <c r="B4">
        <v>55</v>
      </c>
      <c r="C4">
        <v>528</v>
      </c>
      <c r="D4">
        <v>10.42</v>
      </c>
      <c r="E4">
        <v>4</v>
      </c>
    </row>
    <row r="5" spans="1:5" x14ac:dyDescent="0.3">
      <c r="A5" t="s">
        <v>18</v>
      </c>
      <c r="B5">
        <v>60</v>
      </c>
      <c r="C5">
        <v>472</v>
      </c>
      <c r="D5">
        <v>12.71</v>
      </c>
      <c r="E5">
        <v>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DE4A3-A83E-49A2-8206-06401E13A082}">
  <sheetPr codeName="Sheet6"/>
  <dimension ref="A1:D3"/>
  <sheetViews>
    <sheetView workbookViewId="0"/>
  </sheetViews>
  <sheetFormatPr defaultRowHeight="14.4" x14ac:dyDescent="0.3"/>
  <cols>
    <col min="1" max="2" width="10.88671875" customWidth="1"/>
    <col min="3" max="3" width="11.88671875" customWidth="1"/>
    <col min="4" max="4" width="16.33203125" customWidth="1"/>
  </cols>
  <sheetData>
    <row r="1" spans="1:4" x14ac:dyDescent="0.3">
      <c r="A1" t="s">
        <v>25</v>
      </c>
      <c r="B1" t="s">
        <v>20</v>
      </c>
      <c r="C1" t="s">
        <v>21</v>
      </c>
      <c r="D1" t="s">
        <v>12</v>
      </c>
    </row>
    <row r="2" spans="1:4" x14ac:dyDescent="0.3">
      <c r="A2" t="s">
        <v>23</v>
      </c>
      <c r="B2">
        <v>127</v>
      </c>
      <c r="C2">
        <v>416</v>
      </c>
      <c r="D2">
        <v>30.53</v>
      </c>
    </row>
    <row r="3" spans="1:4" x14ac:dyDescent="0.3">
      <c r="A3" t="s">
        <v>24</v>
      </c>
      <c r="B3">
        <v>110</v>
      </c>
      <c r="C3">
        <v>1054</v>
      </c>
      <c r="D3">
        <v>10.44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404F1-46E1-4EE8-9426-AAC03DCE52BB}">
  <sheetPr codeName="Sheet7"/>
  <dimension ref="A1:G8"/>
  <sheetViews>
    <sheetView topLeftCell="A5" workbookViewId="0">
      <selection activeCell="O69" sqref="O69"/>
    </sheetView>
  </sheetViews>
  <sheetFormatPr defaultColWidth="15.88671875" defaultRowHeight="10.8" x14ac:dyDescent="0.25"/>
  <cols>
    <col min="1" max="1" width="8.109375" style="11" customWidth="1"/>
    <col min="2" max="3" width="15.88671875" style="11"/>
    <col min="4" max="4" width="17.6640625" style="11" customWidth="1"/>
    <col min="5" max="5" width="15.88671875" style="11"/>
    <col min="6" max="6" width="20.33203125" style="11" customWidth="1"/>
    <col min="7" max="7" width="10.109375" style="11" customWidth="1"/>
    <col min="8" max="16384" width="15.88671875" style="11"/>
  </cols>
  <sheetData>
    <row r="1" spans="1:7" s="9" customFormat="1" x14ac:dyDescent="0.25">
      <c r="A1" s="8" t="s">
        <v>40</v>
      </c>
      <c r="B1" s="8" t="s">
        <v>41</v>
      </c>
      <c r="C1" s="8" t="s">
        <v>42</v>
      </c>
      <c r="D1" s="8" t="s">
        <v>43</v>
      </c>
      <c r="E1" s="8" t="s">
        <v>44</v>
      </c>
      <c r="F1" s="8" t="s">
        <v>45</v>
      </c>
      <c r="G1" s="8" t="s">
        <v>46</v>
      </c>
    </row>
    <row r="2" spans="1:7" ht="97.2" x14ac:dyDescent="0.25">
      <c r="A2" s="10" t="s">
        <v>47</v>
      </c>
      <c r="B2" s="10" t="s">
        <v>48</v>
      </c>
      <c r="C2" s="10" t="s">
        <v>49</v>
      </c>
      <c r="D2" s="10" t="s">
        <v>50</v>
      </c>
      <c r="E2" s="10" t="s">
        <v>51</v>
      </c>
      <c r="F2" s="10" t="s">
        <v>53</v>
      </c>
      <c r="G2" s="10" t="s">
        <v>52</v>
      </c>
    </row>
    <row r="3" spans="1:7" ht="108" x14ac:dyDescent="0.25">
      <c r="A3" s="12" t="s">
        <v>54</v>
      </c>
      <c r="B3" s="12" t="s">
        <v>55</v>
      </c>
      <c r="C3" s="12" t="s">
        <v>56</v>
      </c>
      <c r="D3" s="12" t="s">
        <v>57</v>
      </c>
      <c r="E3" s="12" t="s">
        <v>58</v>
      </c>
      <c r="F3" s="12" t="s">
        <v>59</v>
      </c>
      <c r="G3" s="12" t="s">
        <v>52</v>
      </c>
    </row>
    <row r="4" spans="1:7" ht="64.8" x14ac:dyDescent="0.25">
      <c r="A4" s="10" t="s">
        <v>60</v>
      </c>
      <c r="B4" s="10" t="s">
        <v>61</v>
      </c>
      <c r="C4" s="10" t="s">
        <v>62</v>
      </c>
      <c r="D4" s="10" t="s">
        <v>63</v>
      </c>
      <c r="E4" s="10" t="s">
        <v>64</v>
      </c>
      <c r="F4" s="10" t="s">
        <v>66</v>
      </c>
      <c r="G4" s="10" t="s">
        <v>67</v>
      </c>
    </row>
    <row r="5" spans="1:7" ht="86.4" x14ac:dyDescent="0.25">
      <c r="A5" s="12" t="s">
        <v>68</v>
      </c>
      <c r="B5" s="12" t="s">
        <v>69</v>
      </c>
      <c r="C5" s="12" t="s">
        <v>70</v>
      </c>
      <c r="D5" s="12" t="s">
        <v>71</v>
      </c>
      <c r="E5" s="12" t="s">
        <v>72</v>
      </c>
      <c r="F5" s="12" t="s">
        <v>73</v>
      </c>
      <c r="G5" s="12" t="s">
        <v>52</v>
      </c>
    </row>
    <row r="6" spans="1:7" ht="75.599999999999994" x14ac:dyDescent="0.25">
      <c r="A6" s="10" t="s">
        <v>74</v>
      </c>
      <c r="B6" s="10" t="s">
        <v>77</v>
      </c>
      <c r="C6" s="10" t="s">
        <v>82</v>
      </c>
      <c r="D6" s="10" t="s">
        <v>83</v>
      </c>
      <c r="E6" s="10" t="s">
        <v>88</v>
      </c>
      <c r="F6" s="10" t="s">
        <v>89</v>
      </c>
      <c r="G6" s="10" t="s">
        <v>90</v>
      </c>
    </row>
    <row r="7" spans="1:7" ht="75.599999999999994" x14ac:dyDescent="0.25">
      <c r="A7" s="12" t="s">
        <v>75</v>
      </c>
      <c r="B7" s="12" t="s">
        <v>78</v>
      </c>
      <c r="C7" s="12" t="s">
        <v>81</v>
      </c>
      <c r="D7" s="12" t="s">
        <v>84</v>
      </c>
      <c r="E7" s="12" t="s">
        <v>87</v>
      </c>
      <c r="F7" s="12" t="s">
        <v>91</v>
      </c>
      <c r="G7" s="12" t="s">
        <v>92</v>
      </c>
    </row>
    <row r="8" spans="1:7" ht="75.599999999999994" x14ac:dyDescent="0.25">
      <c r="A8" s="10" t="s">
        <v>76</v>
      </c>
      <c r="B8" s="10" t="s">
        <v>79</v>
      </c>
      <c r="C8" s="10" t="s">
        <v>80</v>
      </c>
      <c r="D8" s="10" t="s">
        <v>85</v>
      </c>
      <c r="E8" s="10" t="s">
        <v>86</v>
      </c>
      <c r="F8" s="10" t="s">
        <v>93</v>
      </c>
      <c r="G8" s="13" t="s">
        <v>67</v>
      </c>
    </row>
  </sheetData>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31417-2A7F-4987-BE16-BEAF465A49B6}">
  <sheetPr codeName="Sheet8"/>
  <dimension ref="A1:F34"/>
  <sheetViews>
    <sheetView topLeftCell="A9" workbookViewId="0">
      <selection activeCell="O69" sqref="O69"/>
    </sheetView>
  </sheetViews>
  <sheetFormatPr defaultColWidth="23.88671875" defaultRowHeight="10.8" x14ac:dyDescent="0.25"/>
  <cols>
    <col min="1" max="1" width="23.88671875" style="11"/>
    <col min="2" max="2" width="18.77734375" style="11" customWidth="1"/>
    <col min="3" max="3" width="9.77734375" style="11" customWidth="1"/>
    <col min="4" max="4" width="27.109375" style="11" customWidth="1"/>
    <col min="5" max="5" width="23.88671875" style="11"/>
    <col min="6" max="6" width="19.44140625" style="11" customWidth="1"/>
    <col min="7" max="16384" width="23.88671875" style="11"/>
  </cols>
  <sheetData>
    <row r="1" spans="1:6" s="9" customFormat="1" x14ac:dyDescent="0.25">
      <c r="A1" s="14" t="s">
        <v>94</v>
      </c>
      <c r="B1" s="14" t="s">
        <v>42</v>
      </c>
      <c r="C1" s="14" t="s">
        <v>95</v>
      </c>
      <c r="D1" s="14" t="s">
        <v>264</v>
      </c>
      <c r="E1" s="14" t="s">
        <v>96</v>
      </c>
      <c r="F1" s="14" t="s">
        <v>97</v>
      </c>
    </row>
    <row r="2" spans="1:6" s="9" customFormat="1" x14ac:dyDescent="0.25">
      <c r="A2" s="16" t="s">
        <v>157</v>
      </c>
      <c r="B2" s="17"/>
      <c r="C2" s="16"/>
      <c r="D2" s="16"/>
      <c r="E2" s="16"/>
      <c r="F2" s="16"/>
    </row>
    <row r="3" spans="1:6" ht="21.6" x14ac:dyDescent="0.25">
      <c r="A3" s="18" t="s">
        <v>98</v>
      </c>
      <c r="B3" s="18" t="s">
        <v>99</v>
      </c>
      <c r="C3" s="18" t="s">
        <v>100</v>
      </c>
      <c r="D3" s="18" t="s">
        <v>101</v>
      </c>
      <c r="E3" s="18" t="s">
        <v>102</v>
      </c>
      <c r="F3" s="18" t="s">
        <v>103</v>
      </c>
    </row>
    <row r="4" spans="1:6" x14ac:dyDescent="0.25">
      <c r="A4" s="17" t="s">
        <v>104</v>
      </c>
      <c r="B4" s="17" t="s">
        <v>105</v>
      </c>
      <c r="C4" s="17" t="s">
        <v>100</v>
      </c>
      <c r="D4" s="17" t="s">
        <v>106</v>
      </c>
      <c r="E4" s="17" t="s">
        <v>107</v>
      </c>
      <c r="F4" s="17" t="s">
        <v>108</v>
      </c>
    </row>
    <row r="5" spans="1:6" x14ac:dyDescent="0.25">
      <c r="A5" s="18" t="s">
        <v>109</v>
      </c>
      <c r="B5" s="18" t="s">
        <v>110</v>
      </c>
      <c r="C5" s="18" t="s">
        <v>111</v>
      </c>
      <c r="D5" s="18" t="s">
        <v>112</v>
      </c>
      <c r="E5" s="18" t="s">
        <v>113</v>
      </c>
      <c r="F5" s="18" t="s">
        <v>114</v>
      </c>
    </row>
    <row r="6" spans="1:6" x14ac:dyDescent="0.25">
      <c r="A6" s="17" t="s">
        <v>115</v>
      </c>
      <c r="B6" s="17" t="s">
        <v>116</v>
      </c>
      <c r="C6" s="17" t="s">
        <v>111</v>
      </c>
      <c r="D6" s="17" t="s">
        <v>117</v>
      </c>
      <c r="E6" s="17" t="s">
        <v>118</v>
      </c>
      <c r="F6" s="17" t="s">
        <v>119</v>
      </c>
    </row>
    <row r="7" spans="1:6" x14ac:dyDescent="0.25">
      <c r="A7" s="18" t="s">
        <v>28</v>
      </c>
      <c r="B7" s="18" t="s">
        <v>120</v>
      </c>
      <c r="C7" s="18" t="s">
        <v>111</v>
      </c>
      <c r="D7" s="18" t="s">
        <v>121</v>
      </c>
      <c r="E7" s="18" t="s">
        <v>122</v>
      </c>
      <c r="F7" s="18" t="s">
        <v>123</v>
      </c>
    </row>
    <row r="8" spans="1:6" x14ac:dyDescent="0.25">
      <c r="A8" s="17"/>
      <c r="B8" s="17"/>
      <c r="C8" s="17"/>
      <c r="D8" s="17"/>
      <c r="E8" s="17"/>
      <c r="F8" s="17"/>
    </row>
    <row r="9" spans="1:6" x14ac:dyDescent="0.25">
      <c r="A9" s="20" t="s">
        <v>156</v>
      </c>
      <c r="B9" s="18"/>
      <c r="C9" s="18"/>
      <c r="D9" s="18"/>
      <c r="E9" s="18"/>
      <c r="F9" s="18"/>
    </row>
    <row r="10" spans="1:6" x14ac:dyDescent="0.25">
      <c r="A10" s="17" t="s">
        <v>124</v>
      </c>
      <c r="B10" s="17" t="s">
        <v>125</v>
      </c>
      <c r="C10" s="17" t="s">
        <v>111</v>
      </c>
      <c r="D10" s="17" t="s">
        <v>126</v>
      </c>
      <c r="E10" s="17" t="s">
        <v>127</v>
      </c>
      <c r="F10" s="17"/>
    </row>
    <row r="11" spans="1:6" x14ac:dyDescent="0.25">
      <c r="A11" s="18" t="s">
        <v>128</v>
      </c>
      <c r="B11" s="18" t="s">
        <v>129</v>
      </c>
      <c r="C11" s="18" t="s">
        <v>100</v>
      </c>
      <c r="D11" s="18" t="s">
        <v>130</v>
      </c>
      <c r="E11" s="18" t="s">
        <v>131</v>
      </c>
      <c r="F11" s="18"/>
    </row>
    <row r="12" spans="1:6" x14ac:dyDescent="0.25">
      <c r="A12" s="17" t="s">
        <v>132</v>
      </c>
      <c r="B12" s="17" t="s">
        <v>133</v>
      </c>
      <c r="C12" s="17" t="s">
        <v>134</v>
      </c>
      <c r="D12" s="17" t="s">
        <v>135</v>
      </c>
      <c r="E12" s="17" t="s">
        <v>136</v>
      </c>
      <c r="F12" s="17"/>
    </row>
    <row r="13" spans="1:6" x14ac:dyDescent="0.25">
      <c r="A13" s="18" t="s">
        <v>137</v>
      </c>
      <c r="B13" s="18" t="s">
        <v>138</v>
      </c>
      <c r="C13" s="18" t="s">
        <v>134</v>
      </c>
      <c r="D13" s="18" t="s">
        <v>135</v>
      </c>
      <c r="E13" s="18" t="s">
        <v>139</v>
      </c>
      <c r="F13" s="18"/>
    </row>
    <row r="14" spans="1:6" x14ac:dyDescent="0.25">
      <c r="A14" s="17" t="s">
        <v>140</v>
      </c>
      <c r="B14" s="17" t="s">
        <v>141</v>
      </c>
      <c r="C14" s="17" t="s">
        <v>134</v>
      </c>
      <c r="D14" s="17" t="s">
        <v>135</v>
      </c>
      <c r="E14" s="17" t="s">
        <v>139</v>
      </c>
      <c r="F14" s="17"/>
    </row>
    <row r="15" spans="1:6" x14ac:dyDescent="0.25">
      <c r="A15" s="18" t="s">
        <v>142</v>
      </c>
      <c r="B15" s="18" t="s">
        <v>143</v>
      </c>
      <c r="C15" s="18" t="s">
        <v>134</v>
      </c>
      <c r="D15" s="18" t="s">
        <v>135</v>
      </c>
      <c r="E15" s="18" t="s">
        <v>144</v>
      </c>
      <c r="F15" s="18"/>
    </row>
    <row r="16" spans="1:6" x14ac:dyDescent="0.25">
      <c r="A16" s="17"/>
      <c r="B16" s="17"/>
      <c r="C16" s="17"/>
      <c r="D16" s="17"/>
      <c r="E16" s="17"/>
      <c r="F16" s="17"/>
    </row>
    <row r="17" spans="1:6" x14ac:dyDescent="0.25">
      <c r="A17" s="20" t="s">
        <v>155</v>
      </c>
      <c r="B17" s="18"/>
      <c r="C17" s="18"/>
      <c r="D17" s="18"/>
      <c r="E17" s="18"/>
      <c r="F17" s="18"/>
    </row>
    <row r="18" spans="1:6" x14ac:dyDescent="0.25">
      <c r="A18" s="17" t="s">
        <v>145</v>
      </c>
      <c r="B18" s="17" t="s">
        <v>146</v>
      </c>
      <c r="C18" s="17" t="s">
        <v>134</v>
      </c>
      <c r="D18" s="17" t="s">
        <v>147</v>
      </c>
      <c r="E18" s="17"/>
      <c r="F18" s="17"/>
    </row>
    <row r="19" spans="1:6" x14ac:dyDescent="0.25">
      <c r="A19" s="18" t="s">
        <v>148</v>
      </c>
      <c r="B19" s="18" t="s">
        <v>149</v>
      </c>
      <c r="C19" s="18" t="s">
        <v>134</v>
      </c>
      <c r="D19" s="18" t="s">
        <v>101</v>
      </c>
      <c r="E19" s="18"/>
      <c r="F19" s="18"/>
    </row>
    <row r="20" spans="1:6" x14ac:dyDescent="0.25">
      <c r="A20" s="17" t="s">
        <v>150</v>
      </c>
      <c r="B20" s="17" t="s">
        <v>151</v>
      </c>
      <c r="C20" s="17" t="s">
        <v>134</v>
      </c>
      <c r="D20" s="17" t="s">
        <v>101</v>
      </c>
      <c r="E20" s="17"/>
      <c r="F20" s="17"/>
    </row>
    <row r="21" spans="1:6" x14ac:dyDescent="0.25">
      <c r="A21" s="18" t="s">
        <v>152</v>
      </c>
      <c r="B21" s="18" t="s">
        <v>153</v>
      </c>
      <c r="C21" s="18" t="s">
        <v>134</v>
      </c>
      <c r="D21" s="18" t="s">
        <v>154</v>
      </c>
      <c r="E21" s="18"/>
      <c r="F21" s="18"/>
    </row>
    <row r="22" spans="1:6" x14ac:dyDescent="0.25">
      <c r="A22" s="17"/>
      <c r="B22" s="17"/>
      <c r="C22" s="17"/>
      <c r="D22" s="17"/>
      <c r="E22" s="17"/>
      <c r="F22" s="17"/>
    </row>
    <row r="23" spans="1:6" s="9" customFormat="1" x14ac:dyDescent="0.25">
      <c r="A23" s="20" t="s">
        <v>158</v>
      </c>
      <c r="B23" s="20"/>
      <c r="C23" s="20"/>
      <c r="D23" s="20"/>
      <c r="E23" s="20"/>
      <c r="F23" s="20"/>
    </row>
    <row r="24" spans="1:6" x14ac:dyDescent="0.25">
      <c r="A24" s="17" t="s">
        <v>159</v>
      </c>
      <c r="B24" s="17" t="s">
        <v>160</v>
      </c>
      <c r="C24" s="17" t="s">
        <v>100</v>
      </c>
      <c r="D24" s="17" t="s">
        <v>161</v>
      </c>
      <c r="E24" s="17" t="s">
        <v>162</v>
      </c>
      <c r="F24" s="17"/>
    </row>
    <row r="25" spans="1:6" x14ac:dyDescent="0.25">
      <c r="A25" s="18" t="s">
        <v>163</v>
      </c>
      <c r="B25" s="18" t="s">
        <v>164</v>
      </c>
      <c r="C25" s="18" t="s">
        <v>100</v>
      </c>
      <c r="D25" s="18" t="s">
        <v>161</v>
      </c>
      <c r="E25" s="18" t="s">
        <v>165</v>
      </c>
      <c r="F25" s="18"/>
    </row>
    <row r="26" spans="1:6" x14ac:dyDescent="0.25">
      <c r="A26" s="17" t="s">
        <v>166</v>
      </c>
      <c r="B26" s="17" t="s">
        <v>167</v>
      </c>
      <c r="C26" s="17" t="s">
        <v>100</v>
      </c>
      <c r="D26" s="17" t="s">
        <v>161</v>
      </c>
      <c r="E26" s="17" t="s">
        <v>168</v>
      </c>
      <c r="F26" s="17"/>
    </row>
    <row r="27" spans="1:6" x14ac:dyDescent="0.25">
      <c r="A27" s="18" t="s">
        <v>169</v>
      </c>
      <c r="B27" s="18" t="s">
        <v>170</v>
      </c>
      <c r="C27" s="18" t="s">
        <v>100</v>
      </c>
      <c r="D27" s="18" t="s">
        <v>161</v>
      </c>
      <c r="E27" s="18" t="s">
        <v>171</v>
      </c>
      <c r="F27" s="18"/>
    </row>
    <row r="28" spans="1:6" ht="21.6" x14ac:dyDescent="0.25">
      <c r="A28" s="17" t="s">
        <v>25</v>
      </c>
      <c r="B28" s="17" t="s">
        <v>172</v>
      </c>
      <c r="C28" s="17" t="s">
        <v>111</v>
      </c>
      <c r="D28" s="17" t="s">
        <v>173</v>
      </c>
      <c r="E28" s="17" t="s">
        <v>174</v>
      </c>
      <c r="F28" s="17"/>
    </row>
    <row r="29" spans="1:6" x14ac:dyDescent="0.25">
      <c r="A29" s="18"/>
      <c r="B29" s="18"/>
      <c r="C29" s="18"/>
      <c r="D29" s="18"/>
      <c r="E29" s="18"/>
      <c r="F29" s="18"/>
    </row>
    <row r="30" spans="1:6" x14ac:dyDescent="0.25">
      <c r="A30" s="16" t="s">
        <v>175</v>
      </c>
      <c r="B30" s="17"/>
      <c r="C30" s="17"/>
      <c r="D30" s="17"/>
      <c r="E30" s="17"/>
      <c r="F30" s="17"/>
    </row>
    <row r="31" spans="1:6" ht="21.6" x14ac:dyDescent="0.25">
      <c r="A31" s="18" t="s">
        <v>176</v>
      </c>
      <c r="B31" s="18" t="s">
        <v>177</v>
      </c>
      <c r="C31" s="18" t="s">
        <v>111</v>
      </c>
      <c r="D31" s="18" t="s">
        <v>178</v>
      </c>
      <c r="E31" s="18" t="s">
        <v>179</v>
      </c>
      <c r="F31" s="18"/>
    </row>
    <row r="32" spans="1:6" x14ac:dyDescent="0.25">
      <c r="A32" s="17" t="s">
        <v>180</v>
      </c>
      <c r="B32" s="17" t="s">
        <v>181</v>
      </c>
      <c r="C32" s="17" t="s">
        <v>134</v>
      </c>
      <c r="D32" s="17" t="s">
        <v>182</v>
      </c>
      <c r="E32" s="17" t="s">
        <v>183</v>
      </c>
      <c r="F32" s="17"/>
    </row>
    <row r="33" spans="1:6" x14ac:dyDescent="0.25">
      <c r="A33" s="18" t="s">
        <v>184</v>
      </c>
      <c r="B33" s="18" t="s">
        <v>185</v>
      </c>
      <c r="C33" s="18" t="s">
        <v>100</v>
      </c>
      <c r="D33" s="18" t="s">
        <v>135</v>
      </c>
      <c r="E33" s="18" t="s">
        <v>186</v>
      </c>
      <c r="F33" s="18"/>
    </row>
    <row r="34" spans="1:6" x14ac:dyDescent="0.25">
      <c r="A34" s="17" t="s">
        <v>187</v>
      </c>
      <c r="B34" s="17" t="s">
        <v>188</v>
      </c>
      <c r="C34" s="17" t="s">
        <v>100</v>
      </c>
      <c r="D34" s="17" t="s">
        <v>135</v>
      </c>
      <c r="E34" s="17" t="s">
        <v>189</v>
      </c>
      <c r="F34" s="17"/>
    </row>
  </sheetData>
  <phoneticPr fontId="3" type="noConversion"/>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D4A43-A8B3-4F2A-BA83-D678376CE517}">
  <sheetPr codeName="Sheet9"/>
  <dimension ref="A1:D27"/>
  <sheetViews>
    <sheetView workbookViewId="0">
      <selection activeCell="O69" sqref="O69"/>
    </sheetView>
  </sheetViews>
  <sheetFormatPr defaultColWidth="32.5546875" defaultRowHeight="10.8" x14ac:dyDescent="0.25"/>
  <cols>
    <col min="1" max="1" width="32.5546875" style="15"/>
    <col min="2" max="2" width="20" style="15" customWidth="1"/>
    <col min="3" max="3" width="26" style="15" customWidth="1"/>
    <col min="4" max="4" width="21.77734375" style="15" customWidth="1"/>
    <col min="5" max="16384" width="32.5546875" style="15"/>
  </cols>
  <sheetData>
    <row r="1" spans="1:4" x14ac:dyDescent="0.25">
      <c r="A1" s="14" t="s">
        <v>190</v>
      </c>
      <c r="B1" s="14" t="s">
        <v>191</v>
      </c>
      <c r="C1" s="14" t="s">
        <v>217</v>
      </c>
      <c r="D1" s="14" t="s">
        <v>192</v>
      </c>
    </row>
    <row r="2" spans="1:4" x14ac:dyDescent="0.25">
      <c r="A2" s="16" t="s">
        <v>203</v>
      </c>
      <c r="B2" s="17"/>
      <c r="C2" s="17"/>
      <c r="D2" s="17"/>
    </row>
    <row r="3" spans="1:4" ht="32.4" x14ac:dyDescent="0.25">
      <c r="A3" s="18" t="s">
        <v>29</v>
      </c>
      <c r="B3" s="18" t="s">
        <v>193</v>
      </c>
      <c r="C3" s="18" t="s">
        <v>200</v>
      </c>
      <c r="D3" s="18" t="s">
        <v>201</v>
      </c>
    </row>
    <row r="4" spans="1:4" ht="32.4" x14ac:dyDescent="0.25">
      <c r="A4" s="17" t="s">
        <v>194</v>
      </c>
      <c r="B4" s="17" t="s">
        <v>195</v>
      </c>
      <c r="C4" s="17" t="s">
        <v>202</v>
      </c>
      <c r="D4" s="17" t="s">
        <v>196</v>
      </c>
    </row>
    <row r="5" spans="1:4" ht="21.6" x14ac:dyDescent="0.25">
      <c r="A5" s="18" t="s">
        <v>197</v>
      </c>
      <c r="B5" s="18" t="s">
        <v>198</v>
      </c>
      <c r="C5" s="18" t="s">
        <v>204</v>
      </c>
      <c r="D5" s="18" t="s">
        <v>199</v>
      </c>
    </row>
    <row r="6" spans="1:4" x14ac:dyDescent="0.25">
      <c r="A6" s="17"/>
      <c r="B6" s="17"/>
      <c r="C6" s="17"/>
      <c r="D6" s="17"/>
    </row>
    <row r="7" spans="1:4" s="11" customFormat="1" x14ac:dyDescent="0.25">
      <c r="A7" s="19" t="s">
        <v>205</v>
      </c>
      <c r="B7" s="18"/>
      <c r="C7" s="18"/>
      <c r="D7" s="18"/>
    </row>
    <row r="8" spans="1:4" x14ac:dyDescent="0.25">
      <c r="A8" s="17" t="s">
        <v>206</v>
      </c>
      <c r="B8" s="17" t="s">
        <v>207</v>
      </c>
      <c r="C8" s="17" t="s">
        <v>204</v>
      </c>
      <c r="D8" s="17" t="s">
        <v>208</v>
      </c>
    </row>
    <row r="9" spans="1:4" ht="21.6" x14ac:dyDescent="0.25">
      <c r="A9" s="18" t="s">
        <v>65</v>
      </c>
      <c r="B9" s="18" t="s">
        <v>209</v>
      </c>
      <c r="C9" s="18" t="s">
        <v>210</v>
      </c>
      <c r="D9" s="18" t="s">
        <v>211</v>
      </c>
    </row>
    <row r="10" spans="1:4" ht="21.6" x14ac:dyDescent="0.25">
      <c r="A10" s="17" t="s">
        <v>212</v>
      </c>
      <c r="B10" s="17" t="s">
        <v>213</v>
      </c>
      <c r="C10" s="17" t="s">
        <v>214</v>
      </c>
      <c r="D10" s="17" t="s">
        <v>215</v>
      </c>
    </row>
    <row r="11" spans="1:4" x14ac:dyDescent="0.25">
      <c r="A11" s="18"/>
      <c r="B11" s="18"/>
      <c r="C11" s="18"/>
      <c r="D11" s="18"/>
    </row>
    <row r="12" spans="1:4" x14ac:dyDescent="0.25">
      <c r="A12" s="16" t="s">
        <v>216</v>
      </c>
      <c r="B12" s="17"/>
      <c r="C12" s="17"/>
      <c r="D12" s="17"/>
    </row>
    <row r="13" spans="1:4" ht="21.6" x14ac:dyDescent="0.25">
      <c r="A13" s="18" t="s">
        <v>218</v>
      </c>
      <c r="B13" s="18" t="s">
        <v>219</v>
      </c>
      <c r="C13" s="18" t="s">
        <v>220</v>
      </c>
      <c r="D13" s="18" t="s">
        <v>221</v>
      </c>
    </row>
    <row r="14" spans="1:4" ht="21.6" x14ac:dyDescent="0.25">
      <c r="A14" s="17" t="s">
        <v>222</v>
      </c>
      <c r="B14" s="17" t="s">
        <v>223</v>
      </c>
      <c r="C14" s="17" t="s">
        <v>224</v>
      </c>
      <c r="D14" s="17" t="s">
        <v>225</v>
      </c>
    </row>
    <row r="15" spans="1:4" x14ac:dyDescent="0.25">
      <c r="A15" s="18" t="s">
        <v>226</v>
      </c>
      <c r="B15" s="18" t="s">
        <v>227</v>
      </c>
      <c r="C15" s="18" t="s">
        <v>228</v>
      </c>
      <c r="D15" s="18" t="s">
        <v>229</v>
      </c>
    </row>
    <row r="16" spans="1:4" x14ac:dyDescent="0.25">
      <c r="A16" s="17" t="s">
        <v>230</v>
      </c>
      <c r="B16" s="17" t="s">
        <v>231</v>
      </c>
      <c r="C16" s="17" t="s">
        <v>232</v>
      </c>
      <c r="D16" s="17" t="s">
        <v>233</v>
      </c>
    </row>
    <row r="17" spans="1:4" x14ac:dyDescent="0.25">
      <c r="A17" s="18" t="s">
        <v>234</v>
      </c>
      <c r="B17" s="18" t="s">
        <v>235</v>
      </c>
      <c r="C17" s="18" t="s">
        <v>236</v>
      </c>
      <c r="D17" s="18" t="s">
        <v>237</v>
      </c>
    </row>
    <row r="18" spans="1:4" x14ac:dyDescent="0.25">
      <c r="A18" s="17"/>
      <c r="B18" s="17"/>
      <c r="C18" s="17"/>
      <c r="D18" s="17"/>
    </row>
    <row r="19" spans="1:4" x14ac:dyDescent="0.25">
      <c r="A19" s="20" t="s">
        <v>238</v>
      </c>
      <c r="B19" s="18"/>
      <c r="C19" s="18"/>
      <c r="D19" s="18"/>
    </row>
    <row r="20" spans="1:4" x14ac:dyDescent="0.25">
      <c r="A20" s="17" t="s">
        <v>239</v>
      </c>
      <c r="B20" s="17" t="s">
        <v>240</v>
      </c>
      <c r="C20" s="17" t="s">
        <v>241</v>
      </c>
      <c r="D20" s="17" t="s">
        <v>242</v>
      </c>
    </row>
    <row r="21" spans="1:4" ht="21.6" x14ac:dyDescent="0.25">
      <c r="A21" s="18" t="s">
        <v>243</v>
      </c>
      <c r="B21" s="18" t="s">
        <v>244</v>
      </c>
      <c r="C21" s="18" t="s">
        <v>245</v>
      </c>
      <c r="D21" s="18" t="s">
        <v>246</v>
      </c>
    </row>
    <row r="22" spans="1:4" ht="21.6" x14ac:dyDescent="0.25">
      <c r="A22" s="17" t="s">
        <v>247</v>
      </c>
      <c r="B22" s="17" t="s">
        <v>248</v>
      </c>
      <c r="C22" s="17" t="s">
        <v>249</v>
      </c>
      <c r="D22" s="17" t="s">
        <v>250</v>
      </c>
    </row>
    <row r="23" spans="1:4" x14ac:dyDescent="0.25">
      <c r="A23" s="18"/>
      <c r="B23" s="18"/>
      <c r="C23" s="18"/>
      <c r="D23" s="18"/>
    </row>
    <row r="24" spans="1:4" x14ac:dyDescent="0.25">
      <c r="A24" s="16" t="s">
        <v>251</v>
      </c>
      <c r="B24" s="17"/>
      <c r="C24" s="17"/>
      <c r="D24" s="17"/>
    </row>
    <row r="25" spans="1:4" x14ac:dyDescent="0.25">
      <c r="A25" s="18" t="s">
        <v>252</v>
      </c>
      <c r="B25" s="18" t="s">
        <v>253</v>
      </c>
      <c r="C25" s="18" t="s">
        <v>254</v>
      </c>
      <c r="D25" s="18" t="s">
        <v>255</v>
      </c>
    </row>
    <row r="26" spans="1:4" ht="21.6" x14ac:dyDescent="0.25">
      <c r="A26" s="17" t="s">
        <v>256</v>
      </c>
      <c r="B26" s="17" t="s">
        <v>257</v>
      </c>
      <c r="C26" s="17" t="s">
        <v>258</v>
      </c>
      <c r="D26" s="17" t="s">
        <v>259</v>
      </c>
    </row>
    <row r="27" spans="1:4" x14ac:dyDescent="0.25">
      <c r="A27" s="18" t="s">
        <v>260</v>
      </c>
      <c r="B27" s="18" t="s">
        <v>261</v>
      </c>
      <c r="C27" s="18" t="s">
        <v>262</v>
      </c>
      <c r="D27" s="18" t="s">
        <v>263</v>
      </c>
    </row>
  </sheetData>
  <phoneticPr fontId="3"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Config</vt:lpstr>
      <vt:lpstr>Data</vt:lpstr>
      <vt:lpstr>Dashboard</vt:lpstr>
      <vt:lpstr>Data_KpiDept</vt:lpstr>
      <vt:lpstr>Data_Tenure</vt:lpstr>
      <vt:lpstr>Data_Overtime</vt:lpstr>
      <vt:lpstr>Data_Issues_Log</vt:lpstr>
      <vt:lpstr>Data_Dictionary</vt:lpstr>
      <vt:lpstr>KPI_Definitions</vt:lpstr>
      <vt:lpstr>A</vt:lpstr>
      <vt:lpstr>DatabaseName</vt:lpstr>
      <vt:lpstr>DepartmentFilter__opt.</vt:lpstr>
      <vt:lpstr>ExportFolder</vt:lpstr>
      <vt:lpstr>PDFFilePrefix</vt:lpstr>
      <vt:lpstr>Data_Dictionary!Print_Area</vt:lpstr>
      <vt:lpstr>Data_Issues_Log!Print_Area</vt:lpstr>
      <vt:lpstr>KPI_Definitions!Print_Area</vt:lpstr>
      <vt:lpstr>ServerName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ksheeraja k.s.</dc:creator>
  <cp:lastModifiedBy>ksheeraja k.s.</cp:lastModifiedBy>
  <cp:lastPrinted>2025-11-24T12:18:26Z</cp:lastPrinted>
  <dcterms:created xsi:type="dcterms:W3CDTF">2025-10-18T08:18:37Z</dcterms:created>
  <dcterms:modified xsi:type="dcterms:W3CDTF">2025-11-24T12:18:46Z</dcterms:modified>
</cp:coreProperties>
</file>